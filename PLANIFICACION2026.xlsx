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MC 2026 SAL" sheetId="1" state="visible" r:id="rId1"/>
    <sheet name="Freshments" sheetId="2" state="visible" r:id="rId2"/>
  </sheets>
  <definedNames>
    <definedName name="_xlnm.Print_Area" localSheetId="0">'MC 2026 SAL'!$B$1:$F$32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<sst xmlns="http://schemas.openxmlformats.org/spreadsheetml/2006/main" count="175" uniqueCount="175">
  <si>
    <t xml:space="preserve">PRIMER AÑO</t>
  </si>
  <si>
    <t>HORAS</t>
  </si>
  <si>
    <t>SEMANAS</t>
  </si>
  <si>
    <t>FECHAS</t>
  </si>
  <si>
    <t xml:space="preserve">Período 1: </t>
  </si>
  <si>
    <r>
      <t xml:space="preserve">Sistemas Operativos e Internet - Diseño y Multimedia</t>
    </r>
    <r>
      <rPr>
        <sz val="10"/>
        <color indexed="64"/>
        <rFont val="Myriad Pro"/>
      </rPr>
      <t xml:space="preserve">
Internet - Plataformas educativas - Hardware - AI</t>
    </r>
    <r>
      <rPr>
        <b/>
        <sz val="10"/>
        <color indexed="64"/>
        <rFont val="Myriad Pro"/>
      </rPr>
      <t xml:space="preserve">
</t>
    </r>
    <r>
      <rPr>
        <sz val="10"/>
        <color indexed="64"/>
        <rFont val="Myriad Pro"/>
      </rPr>
      <t xml:space="preserve">Video - PowerPoint - Canva - Figma</t>
    </r>
  </si>
  <si>
    <r>
      <rPr>
        <b/>
        <sz val="10"/>
        <color theme="1"/>
        <rFont val="Myriad Pro"/>
      </rPr>
      <t xml:space="preserve">Inicio </t>
    </r>
    <r>
      <rPr>
        <sz val="10"/>
        <color theme="1"/>
        <rFont val="Myriad Pro"/>
      </rPr>
      <t xml:space="preserve">
Semana 1 - lunes 19 de enero
</t>
    </r>
    <r>
      <rPr>
        <b/>
        <sz val="10"/>
        <color theme="1"/>
        <rFont val="Myriad Pro"/>
      </rPr>
      <t>Final</t>
    </r>
    <r>
      <rPr>
        <sz val="10"/>
        <color theme="1"/>
        <rFont val="Myriad Pro"/>
      </rPr>
      <t xml:space="preserve">
Semana 10 - viernes 27 de marzo</t>
    </r>
  </si>
  <si>
    <r>
      <rPr>
        <b/>
        <sz val="11"/>
        <color theme="1"/>
        <rFont val="Calibri"/>
        <scheme val="minor"/>
      </rPr>
      <t xml:space="preserve">Recomendación Hackathon para Módulo 1:</t>
    </r>
    <r>
      <rPr>
        <sz val="11"/>
        <color theme="1"/>
        <rFont val="Calibri"/>
        <scheme val="minor"/>
      </rPr>
      <t xml:space="preserve">
-Dar a conocer a los estudiantes del evento Hackathon
-Entrega de ideas por parte de todos los estudiantes</t>
    </r>
  </si>
  <si>
    <t xml:space="preserve">Período 2: </t>
  </si>
  <si>
    <r>
      <t xml:space="preserve">Ofimatica (Word y Excel</t>
    </r>
    <r>
      <rPr>
        <sz val="10"/>
        <rFont val="Myriad Pro"/>
      </rPr>
      <t xml:space="preserve"> 
Documentos - Word</t>
    </r>
    <r>
      <rPr>
        <b/>
        <sz val="10"/>
        <rFont val="Myriad Pro"/>
      </rPr>
      <t xml:space="preserve">
</t>
    </r>
    <r>
      <rPr>
        <sz val="10"/>
        <rFont val="Myriad Pro"/>
      </rPr>
      <t xml:space="preserve">Hoja de cálculos - Excel</t>
    </r>
  </si>
  <si>
    <r>
      <rPr>
        <b/>
        <sz val="10"/>
        <color theme="1"/>
        <rFont val="Myriad Pro"/>
      </rPr>
      <t xml:space="preserve">Inicio </t>
    </r>
    <r>
      <rPr>
        <sz val="10"/>
        <color theme="1"/>
        <rFont val="Myriad Pro"/>
      </rPr>
      <t xml:space="preserve">
Semana 11 - lunes 6 de abril
</t>
    </r>
    <r>
      <rPr>
        <b/>
        <sz val="10"/>
        <color theme="1"/>
        <rFont val="Myriad Pro"/>
      </rPr>
      <t>Final</t>
    </r>
    <r>
      <rPr>
        <sz val="10"/>
        <color theme="1"/>
        <rFont val="Myriad Pro"/>
      </rPr>
      <t xml:space="preserve">
Semana 20 - viernes 12 de junio</t>
    </r>
  </si>
  <si>
    <r>
      <rPr>
        <b/>
        <sz val="11"/>
        <color theme="1"/>
        <rFont val="Calibri"/>
        <scheme val="minor"/>
      </rPr>
      <t xml:space="preserve">Recomendación Hackathon para Módulo 2:</t>
    </r>
    <r>
      <rPr>
        <sz val="11"/>
        <color theme="1"/>
        <rFont val="Calibri"/>
        <scheme val="minor"/>
      </rPr>
      <t xml:space="preserve">
Organización y conformación de grupos para la aplicación</t>
    </r>
  </si>
  <si>
    <t xml:space="preserve">Semana del 15 al 19 de junio - Evaluación y ajustes a planificación</t>
  </si>
  <si>
    <t xml:space="preserve">Período 3: </t>
  </si>
  <si>
    <r>
      <t xml:space="preserve">Principios de programación
</t>
    </r>
    <r>
      <rPr>
        <sz val="10"/>
        <rFont val="Myriad Pro"/>
      </rPr>
      <t>Algoritmos</t>
    </r>
  </si>
  <si>
    <r>
      <rPr>
        <b/>
        <sz val="10"/>
        <color theme="1"/>
        <rFont val="Myriad Pro"/>
      </rPr>
      <t xml:space="preserve">Inicio </t>
    </r>
    <r>
      <rPr>
        <sz val="10"/>
        <color theme="1"/>
        <rFont val="Myriad Pro"/>
      </rPr>
      <t xml:space="preserve">
Semana 21 - lunes 22 de junio
</t>
    </r>
    <r>
      <rPr>
        <b/>
        <sz val="10"/>
        <color theme="1"/>
        <rFont val="Myriad Pro"/>
      </rPr>
      <t>Final</t>
    </r>
    <r>
      <rPr>
        <sz val="10"/>
        <color theme="1"/>
        <rFont val="Myriad Pro"/>
      </rPr>
      <t xml:space="preserve">
Semana 30 - viernes 4 de septiembre</t>
    </r>
  </si>
  <si>
    <r>
      <rPr>
        <b/>
        <sz val="11"/>
        <color theme="1"/>
        <rFont val="Calibri"/>
        <scheme val="minor"/>
      </rPr>
      <t xml:space="preserve">Recomendación Hackathon para Módulo 3:</t>
    </r>
    <r>
      <rPr>
        <sz val="11"/>
        <color theme="1"/>
        <rFont val="Calibri"/>
        <scheme val="minor"/>
      </rPr>
      <t xml:space="preserve">
Definición de la problemática a resolver, nombre, logo y branding</t>
    </r>
  </si>
  <si>
    <t xml:space="preserve">Período 4: </t>
  </si>
  <si>
    <r>
      <t xml:space="preserve">Herramientas de O365
</t>
    </r>
    <r>
      <rPr>
        <sz val="10"/>
        <rFont val="Myriad Pro"/>
      </rPr>
      <t>Hackathon</t>
    </r>
    <r>
      <rPr>
        <b/>
        <sz val="10"/>
        <rFont val="Myriad Pro"/>
      </rPr>
      <t xml:space="preserve">
Preparación Hackathon -   
</t>
    </r>
    <r>
      <rPr>
        <sz val="10"/>
        <rFont val="Myriad Pro"/>
      </rPr>
      <t xml:space="preserve">Finalización de proyectos</t>
    </r>
  </si>
  <si>
    <r>
      <rPr>
        <b/>
        <sz val="10"/>
        <color theme="1"/>
        <rFont val="Myriad Pro"/>
      </rPr>
      <t xml:space="preserve">Inicio </t>
    </r>
    <r>
      <rPr>
        <sz val="10"/>
        <color theme="1"/>
        <rFont val="Myriad Pro"/>
      </rPr>
      <t xml:space="preserve">
Semana 31 - lunes 7 de septiembre
</t>
    </r>
    <r>
      <rPr>
        <b/>
        <sz val="10"/>
        <color theme="1"/>
        <rFont val="Myriad Pro"/>
      </rPr>
      <t xml:space="preserve">Final
</t>
    </r>
    <r>
      <rPr>
        <sz val="10"/>
        <color theme="1"/>
        <rFont val="Myriad Pro"/>
      </rPr>
      <t xml:space="preserve">Semana 40 - viernes 13 de noviembre</t>
    </r>
  </si>
  <si>
    <r>
      <rPr>
        <b/>
        <sz val="11"/>
        <color theme="1"/>
        <rFont val="Calibri"/>
        <scheme val="minor"/>
      </rPr>
      <t xml:space="preserve">Recomendación Hackathon para Módulo 4:</t>
    </r>
    <r>
      <rPr>
        <sz val="11"/>
        <color theme="1"/>
        <rFont val="Calibri"/>
        <scheme val="minor"/>
      </rPr>
      <t xml:space="preserve">
Diseño completo de la aplicación en Figma</t>
    </r>
  </si>
  <si>
    <t xml:space="preserve">Evento ★ Hackathon - Jueves 12 de Noviembre</t>
  </si>
  <si>
    <r>
      <rPr>
        <b/>
        <sz val="11"/>
        <color theme="1"/>
        <rFont val="Calibri"/>
        <scheme val="minor"/>
      </rPr>
      <t xml:space="preserve">Recomendación Hackathon para Módulo 5:</t>
    </r>
    <r>
      <rPr>
        <sz val="11"/>
        <color theme="1"/>
        <rFont val="Calibri"/>
        <scheme val="minor"/>
      </rPr>
      <t xml:space="preserve">
Desarrollo solo del diseño en Power Apps utilizando herramientas de O365</t>
    </r>
  </si>
  <si>
    <t xml:space="preserve">Horas Informática</t>
  </si>
  <si>
    <r>
      <rPr>
        <b/>
        <sz val="11"/>
        <color theme="1"/>
        <rFont val="Calibri"/>
        <scheme val="minor"/>
      </rPr>
      <t xml:space="preserve">Recomendación Hackathon para Módulo 6:</t>
    </r>
    <r>
      <rPr>
        <sz val="11"/>
        <color theme="1"/>
        <rFont val="Calibri"/>
        <scheme val="minor"/>
      </rPr>
      <t xml:space="preserve">
Programación de la aplicación o implementación de herramientas innovadoras</t>
    </r>
  </si>
  <si>
    <t xml:space="preserve">SEGUNDO AÑO</t>
  </si>
  <si>
    <r>
      <rPr>
        <b/>
        <sz val="11"/>
        <color indexed="64"/>
        <rFont val="Calibri"/>
        <scheme val="minor"/>
      </rPr>
      <t xml:space="preserve">HTML - CSS - Bootstrap
</t>
    </r>
    <r>
      <rPr>
        <sz val="11"/>
        <color indexed="64"/>
        <rFont val="Calibri"/>
        <scheme val="minor"/>
      </rPr>
      <t xml:space="preserve">Diseño web</t>
    </r>
  </si>
  <si>
    <r>
      <t xml:space="preserve">JavaScript 
</t>
    </r>
    <r>
      <rPr>
        <sz val="10"/>
        <rFont val="Myriad Pro"/>
      </rPr>
      <t xml:space="preserve">Algoritmos - Git Hub</t>
    </r>
    <r>
      <rPr>
        <b/>
        <sz val="10"/>
        <rFont val="Myriad Pro"/>
      </rPr>
      <t xml:space="preserve">
JavaScript - DOM
</t>
    </r>
    <r>
      <rPr>
        <sz val="10"/>
        <rFont val="Myriad Pro"/>
      </rPr>
      <t xml:space="preserve">Proyectos web</t>
    </r>
  </si>
  <si>
    <t xml:space="preserve">Período  3: </t>
  </si>
  <si>
    <r>
      <t xml:space="preserve">Base de datos</t>
    </r>
    <r>
      <rPr>
        <sz val="10"/>
        <rFont val="Myriad Pro"/>
      </rPr>
      <t xml:space="preserve"> - Normalización </t>
    </r>
    <r>
      <rPr>
        <b/>
        <sz val="10"/>
        <rFont val="Myriad Pro"/>
      </rPr>
      <t xml:space="preserve">
★★Integración Web - </t>
    </r>
    <r>
      <rPr>
        <sz val="10"/>
        <rFont val="Myriad Pro"/>
      </rPr>
      <t xml:space="preserve">SCRUM - Diseño web</t>
    </r>
    <r>
      <rPr>
        <b/>
        <sz val="10"/>
        <rFont val="Myriad Pro"/>
      </rPr>
      <t xml:space="preserve">
Preparación Expo de Logros
</t>
    </r>
    <r>
      <rPr>
        <sz val="10"/>
        <rFont val="Myriad Pro"/>
      </rPr>
      <t xml:space="preserve">Finalización de proyectos</t>
    </r>
  </si>
  <si>
    <r>
      <t xml:space="preserve">Expo de Logros - 
</t>
    </r>
    <r>
      <rPr>
        <sz val="11"/>
        <rFont val="Myriad Pro"/>
      </rPr>
      <t xml:space="preserve">Recomendado entre el 31 de agosto al 11 de septiembre</t>
    </r>
  </si>
  <si>
    <r>
      <t xml:space="preserve">Python I (Codificación) y Python POO
</t>
    </r>
    <r>
      <rPr>
        <sz val="10"/>
        <rFont val="Myriad Pro"/>
      </rPr>
      <t xml:space="preserve">Algoritmos - Programación Orientada en Objetos </t>
    </r>
    <r>
      <rPr>
        <b/>
        <sz val="10"/>
        <rFont val="Myriad Pro"/>
      </rPr>
      <t xml:space="preserve">
Excel II
</t>
    </r>
    <r>
      <rPr>
        <sz val="10"/>
        <rFont val="Myriad Pro"/>
      </rPr>
      <t xml:space="preserve">Consolidados y Tablas Automatizadas</t>
    </r>
  </si>
  <si>
    <t xml:space="preserve">TERCER AÑO</t>
  </si>
  <si>
    <t xml:space="preserve">Período  1: </t>
  </si>
  <si>
    <r>
      <t xml:space="preserve">★★★Certificación 
</t>
    </r>
    <r>
      <rPr>
        <sz val="10"/>
        <color indexed="64"/>
        <rFont val="Myriad Pro"/>
      </rPr>
      <t xml:space="preserve">Excel Expert Apps</t>
    </r>
    <r>
      <rPr>
        <b/>
        <sz val="10"/>
        <color indexed="64"/>
        <rFont val="Myriad Pro"/>
      </rPr>
      <t xml:space="preserve">
Fecha de Certificación 25 y 26 de marzo</t>
    </r>
  </si>
  <si>
    <t xml:space="preserve">Período  2: </t>
  </si>
  <si>
    <r>
      <t xml:space="preserve">APIS Rest -</t>
    </r>
    <r>
      <rPr>
        <sz val="10"/>
        <rFont val="Myriad Pro"/>
      </rPr>
      <t xml:space="preserve"> Comunicar aplicaciones, acceder a datos y ejecutar operaciones</t>
    </r>
    <r>
      <rPr>
        <b/>
        <sz val="10"/>
        <rFont val="Myriad Pro"/>
      </rPr>
      <t xml:space="preserve">
FrameWork React JS </t>
    </r>
    <r>
      <rPr>
        <sz val="10"/>
        <rFont val="Myriad Pro"/>
      </rPr>
      <t xml:space="preserve">- Interfaces de usuario</t>
    </r>
    <r>
      <rPr>
        <b/>
        <sz val="10"/>
        <rFont val="Myriad Pro"/>
      </rPr>
      <t xml:space="preserve">
Preparación a Expo Tech </t>
    </r>
    <r>
      <rPr>
        <sz val="10"/>
        <rFont val="Myriad Pro"/>
      </rPr>
      <t xml:space="preserve">- Finalización de proyectos</t>
    </r>
  </si>
  <si>
    <t xml:space="preserve">Expo Tech - martes 23 de junio</t>
  </si>
  <si>
    <r>
      <t xml:space="preserve">Excel III</t>
    </r>
    <r>
      <rPr>
        <sz val="10"/>
        <color indexed="64"/>
        <rFont val="Myriad Pro"/>
      </rPr>
      <t xml:space="preserve">
Curso de Power BI
</t>
    </r>
    <r>
      <rPr>
        <b/>
        <sz val="10"/>
        <color indexed="64"/>
        <rFont val="Myriad Pro"/>
      </rPr>
      <t xml:space="preserve">★★★★Proyecto final de Power BI</t>
    </r>
  </si>
  <si>
    <t xml:space="preserve">Período  4: </t>
  </si>
  <si>
    <r>
      <t xml:space="preserve">Introducción Práctica a la Inteligencia Artificial
</t>
    </r>
    <r>
      <rPr>
        <sz val="10"/>
        <color indexed="64"/>
        <rFont val="Myriad Pro"/>
      </rPr>
      <t xml:space="preserve">Herramientas de AI para estudiantes</t>
    </r>
    <r>
      <rPr>
        <b/>
        <sz val="10"/>
        <color indexed="64"/>
        <rFont val="Myriad Pro"/>
      </rPr>
      <t xml:space="preserve">
Combinar Proyecto IT - Proyecto Power Bi + AI
★★★★★Portafolio Final Programación</t>
    </r>
  </si>
  <si>
    <t xml:space="preserve">Planificación Primer Año                      </t>
  </si>
  <si>
    <t xml:space="preserve">Tema General</t>
  </si>
  <si>
    <t xml:space="preserve">Tema Específico</t>
  </si>
  <si>
    <t xml:space="preserve">Fecha Inicio</t>
  </si>
  <si>
    <t xml:space="preserve">Fecha Fin</t>
  </si>
  <si>
    <t xml:space="preserve"># Semanas</t>
  </si>
  <si>
    <t xml:space="preserve">Total Semanas</t>
  </si>
  <si>
    <t xml:space="preserve">Conceptos S.O</t>
  </si>
  <si>
    <t xml:space="preserve">Periodo 1</t>
  </si>
  <si>
    <t xml:space="preserve">Sistemas Operativos - Internet - Plataformas Educativas</t>
  </si>
  <si>
    <t xml:space="preserve">Plataformas Educativas</t>
  </si>
  <si>
    <t xml:space="preserve">Cuenta de Office 365</t>
  </si>
  <si>
    <t xml:space="preserve">Hardware Basico y Perifericos</t>
  </si>
  <si>
    <t xml:space="preserve">Acceso a Microsoft Outlook </t>
  </si>
  <si>
    <t xml:space="preserve">Escritorio-Ventanas y Explorador</t>
  </si>
  <si>
    <t xml:space="preserve">Entorno de Microsoft Teams</t>
  </si>
  <si>
    <t xml:space="preserve">Carpetas y Arboles de directorios</t>
  </si>
  <si>
    <t xml:space="preserve">Otras aplicaciones de Microsoft </t>
  </si>
  <si>
    <t xml:space="preserve">Iconos y Accesos Directos</t>
  </si>
  <si>
    <t xml:space="preserve">Clases Virtuales en Moodle</t>
  </si>
  <si>
    <t xml:space="preserve">Calculadoras y Propiedades de Mouse</t>
  </si>
  <si>
    <t xml:space="preserve">Herramientas Móviles </t>
  </si>
  <si>
    <t xml:space="preserve">Herramientas de recorte</t>
  </si>
  <si>
    <t xml:space="preserve">Entorno y Conceptos</t>
  </si>
  <si>
    <t xml:space="preserve">Envio de correos y archivos adjuntos, creacion de firma digital</t>
  </si>
  <si>
    <t xml:space="preserve">Compresion de archivos</t>
  </si>
  <si>
    <t xml:space="preserve">Conceptos basicos de correo empresarial</t>
  </si>
  <si>
    <t xml:space="preserve">Almacenamiento en la nube y utilidades</t>
  </si>
  <si>
    <t>Paint</t>
  </si>
  <si>
    <t xml:space="preserve">Paint herramientas y dibujo basico</t>
  </si>
  <si>
    <t xml:space="preserve">Trucos y utilidades</t>
  </si>
  <si>
    <t xml:space="preserve">Teclado facil</t>
  </si>
  <si>
    <t xml:space="preserve">Propiedades y tipos de teclado</t>
  </si>
  <si>
    <t xml:space="preserve">Uso de editor de texto basico (bloc de notas)</t>
  </si>
  <si>
    <t xml:space="preserve">Uso de editor de texto intermedio (Worpad)</t>
  </si>
  <si>
    <t xml:space="preserve">Ciudadania digital</t>
  </si>
  <si>
    <t xml:space="preserve">Internet - Correo</t>
  </si>
  <si>
    <t xml:space="preserve">Redes Sociales</t>
  </si>
  <si>
    <t xml:space="preserve">Microsoft PowerPoint- Canvas (Diseño y Multimedia) - IA - Figma</t>
  </si>
  <si>
    <t xml:space="preserve">Power Point</t>
  </si>
  <si>
    <t xml:space="preserve">Conceptos - Entorno</t>
  </si>
  <si>
    <t>Diapositiva</t>
  </si>
  <si>
    <t>Diseño</t>
  </si>
  <si>
    <t>Fondo</t>
  </si>
  <si>
    <t>Temas</t>
  </si>
  <si>
    <t>Transiciones</t>
  </si>
  <si>
    <t>Hipervínculos</t>
  </si>
  <si>
    <t xml:space="preserve">Registro de la plataforma </t>
  </si>
  <si>
    <t>Animaciones</t>
  </si>
  <si>
    <t xml:space="preserve">Interfaz principal </t>
  </si>
  <si>
    <t>Intervalos</t>
  </si>
  <si>
    <t xml:space="preserve">Plantillas </t>
  </si>
  <si>
    <t xml:space="preserve">Canvas (Diseño y Multimedia)</t>
  </si>
  <si>
    <t xml:space="preserve">Descarga de proyectos </t>
  </si>
  <si>
    <t xml:space="preserve">Uso de Textos, imágenes, iconos y formas</t>
  </si>
  <si>
    <t xml:space="preserve">Presentaciones Multimedia </t>
  </si>
  <si>
    <t xml:space="preserve">Compartir enlaces</t>
  </si>
  <si>
    <t xml:space="preserve">Herramientas de Edición (Audacity - Clipchamp)</t>
  </si>
  <si>
    <t xml:space="preserve">Entorno de Audacity</t>
  </si>
  <si>
    <t xml:space="preserve">Grabar audio en Audacity</t>
  </si>
  <si>
    <t xml:space="preserve">Efectos de grabación de sonido</t>
  </si>
  <si>
    <t xml:space="preserve">Exportar sonidos</t>
  </si>
  <si>
    <t xml:space="preserve">Entorno de Clipchamp</t>
  </si>
  <si>
    <t xml:space="preserve">Grabar e insertar videos en Clipchamp</t>
  </si>
  <si>
    <t xml:space="preserve">Efectos y transiciones </t>
  </si>
  <si>
    <t xml:space="preserve">Exportar videos multimedia </t>
  </si>
  <si>
    <t>IA</t>
  </si>
  <si>
    <t xml:space="preserve">Historia y evolución </t>
  </si>
  <si>
    <t xml:space="preserve">Tipos de IA</t>
  </si>
  <si>
    <t xml:space="preserve">Ética en el uso de la IA</t>
  </si>
  <si>
    <t xml:space="preserve">Prompt Engineering</t>
  </si>
  <si>
    <t>Figma</t>
  </si>
  <si>
    <t xml:space="preserve">Introducción al entorno</t>
  </si>
  <si>
    <t xml:space="preserve">Herramientas de forma y pluma</t>
  </si>
  <si>
    <t xml:space="preserve">Gestión de capas</t>
  </si>
  <si>
    <t xml:space="preserve">Componentes - Variantes y Propiedades</t>
  </si>
  <si>
    <t xml:space="preserve">Prototipo e Interactividad</t>
  </si>
  <si>
    <t xml:space="preserve">Proyecto Integrador Social</t>
  </si>
  <si>
    <t xml:space="preserve">Periodo 2</t>
  </si>
  <si>
    <t xml:space="preserve"> Microsoft Word </t>
  </si>
  <si>
    <t xml:space="preserve">Herramientas de Edición de Texto</t>
  </si>
  <si>
    <t xml:space="preserve">LibreOffice </t>
  </si>
  <si>
    <t xml:space="preserve">Documentos de Google </t>
  </si>
  <si>
    <t xml:space="preserve">Microsoft Word 365</t>
  </si>
  <si>
    <t>Word</t>
  </si>
  <si>
    <t xml:space="preserve">Formato de fuente</t>
  </si>
  <si>
    <t xml:space="preserve">Configuración de párrafo</t>
  </si>
  <si>
    <t xml:space="preserve">Ortografía y gramática</t>
  </si>
  <si>
    <t xml:space="preserve">Numeración y viñetas</t>
  </si>
  <si>
    <t xml:space="preserve">Color de páginas</t>
  </si>
  <si>
    <t xml:space="preserve">Buscar - Reemplazar</t>
  </si>
  <si>
    <t xml:space="preserve">Marcas de agua</t>
  </si>
  <si>
    <t xml:space="preserve">Encabezado y pie de página</t>
  </si>
  <si>
    <t>Tablas</t>
  </si>
  <si>
    <t>Formas</t>
  </si>
  <si>
    <t>Imágenes</t>
  </si>
  <si>
    <t>Estilos</t>
  </si>
  <si>
    <t xml:space="preserve">Tabla de contenido</t>
  </si>
  <si>
    <t xml:space="preserve">Creación de reportes </t>
  </si>
  <si>
    <t xml:space="preserve">Normas de referencias APA</t>
  </si>
  <si>
    <t xml:space="preserve">Investigación y Hardware</t>
  </si>
  <si>
    <t xml:space="preserve">Microsoft Excel</t>
  </si>
  <si>
    <t>Excel</t>
  </si>
  <si>
    <t xml:space="preserve">Concepto - Entorno</t>
  </si>
  <si>
    <t xml:space="preserve">Formato de tablas</t>
  </si>
  <si>
    <t>Secuencias</t>
  </si>
  <si>
    <t xml:space="preserve">Fórmulas aritméticas</t>
  </si>
  <si>
    <t xml:space="preserve">Funciones [Fecha]</t>
  </si>
  <si>
    <t xml:space="preserve">Funciones [Texto]</t>
  </si>
  <si>
    <t xml:space="preserve">Ordenar tablas</t>
  </si>
  <si>
    <t xml:space="preserve">Inmovilizar paneles</t>
  </si>
  <si>
    <t xml:space="preserve">Funciones estadísticas</t>
  </si>
  <si>
    <t xml:space="preserve">Función SI (Y/O)</t>
  </si>
  <si>
    <t xml:space="preserve">Gráficos estadísticos</t>
  </si>
  <si>
    <t xml:space="preserve">Configurar página - Imprimir</t>
  </si>
  <si>
    <t xml:space="preserve">Periodo 3</t>
  </si>
  <si>
    <t xml:space="preserve">Principios de programación</t>
  </si>
  <si>
    <t xml:space="preserve">Diseño de algoritmos-DFD</t>
  </si>
  <si>
    <t xml:space="preserve">Conceptos básicos- Introduccion a la logica computacional</t>
  </si>
  <si>
    <t xml:space="preserve">Constantes y Variables, Reglas para la creacion </t>
  </si>
  <si>
    <t xml:space="preserve">Operadores - asignación - comparación - aritméticos- Tipos de datos base</t>
  </si>
  <si>
    <t>Condicionales</t>
  </si>
  <si>
    <t xml:space="preserve">Ciclos Repetitivos</t>
  </si>
  <si>
    <t xml:space="preserve">Transformar Algoritmos en DFD y Diseño de DFD usando Raptor</t>
  </si>
  <si>
    <t xml:space="preserve">Periodo 4</t>
  </si>
  <si>
    <t xml:space="preserve">Acreditación O365</t>
  </si>
  <si>
    <t>O365</t>
  </si>
  <si>
    <t xml:space="preserve">Aplicaciones de Office 365</t>
  </si>
  <si>
    <t xml:space="preserve">Definicion de proyecto y Diseño de Sitios con SharePoint</t>
  </si>
  <si>
    <t xml:space="preserve">Diseño de Listas con PowerList</t>
  </si>
  <si>
    <t xml:space="preserve">Creacion de Aplicación con PowerAPPS</t>
  </si>
  <si>
    <t xml:space="preserve">Implementacion de flujos con PowerAuttomate</t>
  </si>
  <si>
    <t xml:space="preserve">Preparacion de PITCH -HACKATON</t>
  </si>
  <si>
    <t xml:space="preserve">Total de Horas Anuales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</si>
</sst>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0">
    <font>
      <sz val="11.000000"/>
      <color theme="1"/>
      <name val="Calibri"/>
      <scheme val="minor"/>
    </font>
    <font>
      <b/>
      <sz val="10.000000"/>
      <color theme="0"/>
      <name val="Myriad Pro"/>
    </font>
    <font>
      <sz val="10.000000"/>
      <name val="Myriad Pro"/>
    </font>
    <font>
      <b/>
      <sz val="10.000000"/>
      <color indexed="64"/>
      <name val="Myriad Pro"/>
    </font>
    <font>
      <sz val="10.000000"/>
      <color theme="1"/>
      <name val="Myriad Pro"/>
    </font>
    <font>
      <b/>
      <sz val="10.000000"/>
      <name val="Myriad Pro"/>
    </font>
    <font>
      <b/>
      <sz val="11.000000"/>
      <name val="Myriad Pro"/>
    </font>
    <font>
      <sz val="11.000000"/>
      <color theme="1"/>
      <name val="Myriad Pro"/>
    </font>
    <font>
      <b/>
      <sz val="11.000000"/>
      <color theme="0"/>
      <name val="Calibri"/>
      <scheme val="minor"/>
    </font>
    <font>
      <b/>
      <sz val="11.000000"/>
      <color indexed="64"/>
      <name val="Calibri"/>
      <scheme val="minor"/>
    </font>
    <font>
      <sz val="10.000000"/>
      <color theme="0"/>
      <name val="Myriad Pro"/>
    </font>
    <font>
      <b/>
      <sz val="10.000000"/>
      <color theme="1"/>
      <name val="Myriad Pro"/>
    </font>
    <font>
      <sz val="10.000000"/>
      <color indexed="2"/>
      <name val="Myriad Pro"/>
    </font>
    <font>
      <b/>
      <sz val="14.000000"/>
      <color theme="0"/>
      <name val="Calibri"/>
      <scheme val="minor"/>
    </font>
    <font>
      <b/>
      <sz val="12.000000"/>
      <color theme="0"/>
      <name val="Calibri"/>
      <scheme val="minor"/>
    </font>
    <font>
      <b/>
      <sz val="12.000000"/>
      <color indexed="65"/>
      <name val="Calibri"/>
    </font>
    <font>
      <u/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sz val="12.000000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9" tint="0.59999389629810485"/>
      </patternFill>
    </fill>
    <fill>
      <patternFill patternType="solid">
        <fgColor rgb="FF00B0F0"/>
      </patternFill>
    </fill>
    <fill>
      <patternFill patternType="solid">
        <fgColor theme="8" tint="0.59999389629810485"/>
      </patternFill>
    </fill>
    <fill>
      <patternFill patternType="solid">
        <fgColor rgb="FF002060"/>
      </patternFill>
    </fill>
    <fill>
      <patternFill patternType="solid">
        <fgColor theme="8" tint="0.79998168889431442"/>
      </patternFill>
    </fill>
    <fill>
      <patternFill patternType="solid">
        <f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</patternFill>
    </fill>
    <fill>
      <patternFill patternType="solid">
        <fgColor indexed="5"/>
      </patternFill>
    </fill>
    <fill>
      <patternFill patternType="solid">
        <fgColor rgb="FFE2EFDA"/>
      </patternFill>
    </fill>
  </fills>
  <borders count="9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double">
        <color theme="0"/>
      </left>
      <right style="double">
        <color theme="0"/>
      </right>
      <top style="double">
        <color theme="0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 style="none"/>
    </border>
    <border>
      <left style="thin">
        <color auto="1"/>
      </left>
      <right style="thin">
        <color indexed="64"/>
      </right>
      <top style="medium">
        <color auto="1"/>
      </top>
      <bottom style="none"/>
      <diagonal style="none"/>
    </border>
    <border>
      <left style="none"/>
      <right style="thin">
        <color indexed="64"/>
      </right>
      <top style="medium">
        <color auto="1"/>
      </top>
      <bottom style="none"/>
      <diagonal style="none"/>
    </border>
    <border>
      <left style="double">
        <color theme="0"/>
      </left>
      <right style="double">
        <color theme="0"/>
      </right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indexed="64"/>
      </right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indexed="64"/>
      </right>
      <top style="none"/>
      <bottom style="thin">
        <color auto="1"/>
      </bottom>
      <diagonal style="none"/>
    </border>
    <border>
      <left style="none"/>
      <right style="thin">
        <color indexed="64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double">
        <color theme="0"/>
      </left>
      <right style="double">
        <color theme="0"/>
      </right>
      <top style="none"/>
      <bottom style="double">
        <color theme="0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 style="none"/>
    </border>
    <border>
      <left style="thin">
        <color auto="1"/>
      </left>
      <right style="thin">
        <color indexed="64"/>
      </right>
      <top style="medium">
        <color indexed="64"/>
      </top>
      <bottom style="none"/>
      <diagonal style="none"/>
    </border>
    <border>
      <left style="thin">
        <color indexed="64"/>
      </left>
      <right style="thin">
        <color auto="1"/>
      </right>
      <top style="medium">
        <color indexed="64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indexed="64"/>
      </top>
      <bottom style="none"/>
      <diagonal style="none"/>
    </border>
    <border>
      <left style="thin">
        <color indexed="64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auto="1"/>
      </right>
      <top style="none"/>
      <bottom style="thin">
        <color indexed="64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indexed="64"/>
      </bottom>
      <diagonal style="none"/>
    </border>
    <border>
      <left style="thin">
        <color auto="1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auto="1"/>
      </right>
      <top style="thin">
        <color indexed="64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indexed="64"/>
      </left>
      <right style="none"/>
      <top style="medium">
        <color auto="1"/>
      </top>
      <bottom style="none"/>
      <diagonal style="none"/>
    </border>
    <border>
      <left style="thin">
        <color indexed="64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none"/>
      <top style="none"/>
      <bottom style="thin">
        <color auto="1"/>
      </bottom>
      <diagonal style="none"/>
    </border>
    <border>
      <left style="thin">
        <color indexed="64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indexed="64"/>
      </right>
      <top style="none"/>
      <bottom style="medium">
        <color auto="1"/>
      </bottom>
      <diagonal style="none"/>
    </border>
    <border>
      <left style="thin">
        <color indexed="64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indexed="64"/>
      </top>
      <bottom style="medium">
        <color auto="1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auto="1"/>
      </left>
      <right style="thin">
        <color indexed="64"/>
      </right>
      <top style="medium">
        <color auto="1"/>
      </top>
      <bottom style="none"/>
      <diagonal style="none"/>
    </border>
    <border>
      <left style="thin">
        <color indexed="64"/>
      </left>
      <right style="thin">
        <color indexed="64"/>
      </right>
      <top style="medium">
        <color auto="1"/>
      </top>
      <bottom style="none"/>
      <diagonal style="none"/>
    </border>
    <border>
      <left style="thin">
        <color indexed="64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indexed="64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medium">
        <color auto="1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medium">
        <color auto="1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 style="none"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 style="none"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 style="none"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 style="none"/>
    </border>
    <border>
      <left style="none"/>
      <right style="medium">
        <color auto="1"/>
      </right>
      <top style="none"/>
      <bottom style="medium">
        <color indexed="64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indexed="64"/>
      </bottom>
      <diagonal style="none"/>
    </border>
    <border>
      <left style="thin">
        <color auto="1"/>
      </left>
      <right style="none"/>
      <top style="none"/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89">
    <xf fontId="0" fillId="0" borderId="0" numFmtId="0" xfId="0"/>
    <xf fontId="1" fillId="2" borderId="1" numFmtId="0" xfId="0" applyFont="1" applyFill="1" applyBorder="1" applyAlignment="1">
      <alignment horizontal="center"/>
    </xf>
    <xf fontId="2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left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wrapText="1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/>
    </xf>
    <xf fontId="5" fillId="0" borderId="1" numFmtId="0" xfId="0" applyFont="1" applyBorder="1" applyAlignment="1">
      <alignment horizontal="left" vertical="center" wrapText="1"/>
    </xf>
    <xf fontId="5" fillId="0" borderId="2" numFmtId="0" xfId="0" applyFont="1" applyBorder="1" applyAlignment="1">
      <alignment horizontal="center" vertical="center" wrapText="1"/>
    </xf>
    <xf fontId="5" fillId="0" borderId="3" numFmtId="0" xfId="0" applyFont="1" applyBorder="1" applyAlignment="1">
      <alignment horizontal="center" vertical="center" wrapText="1"/>
    </xf>
    <xf fontId="5" fillId="0" borderId="3" numFmtId="0" xfId="0" applyFont="1" applyBorder="1" applyAlignment="1">
      <alignment vertical="center" wrapText="1"/>
    </xf>
    <xf fontId="5" fillId="0" borderId="4" numFmtId="0" xfId="0" applyFont="1" applyBorder="1" applyAlignment="1">
      <alignment vertical="center" wrapText="1"/>
    </xf>
    <xf fontId="2" fillId="0" borderId="1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left" wrapText="1"/>
    </xf>
    <xf fontId="6" fillId="3" borderId="2" numFmtId="0" xfId="0" applyFont="1" applyFill="1" applyBorder="1" applyAlignment="1">
      <alignment horizontal="center" vertical="center" wrapText="1"/>
    </xf>
    <xf fontId="6" fillId="3" borderId="3" numFmtId="0" xfId="0" applyFont="1" applyFill="1" applyBorder="1" applyAlignment="1">
      <alignment horizontal="center" vertical="center" wrapText="1"/>
    </xf>
    <xf fontId="6" fillId="3" borderId="4" numFmtId="0" xfId="0" applyFont="1" applyFill="1" applyBorder="1" applyAlignment="1">
      <alignment horizontal="center" vertical="center" wrapText="1"/>
    </xf>
    <xf fontId="2" fillId="0" borderId="5" numFmtId="0" xfId="0" applyFont="1" applyBorder="1" applyAlignment="1">
      <alignment horizontal="right" vertical="center" wrapText="1"/>
    </xf>
    <xf fontId="5" fillId="0" borderId="1" numFmtId="0" xfId="0" applyFont="1" applyBorder="1" applyAlignment="1">
      <alignment horizontal="center"/>
    </xf>
    <xf fontId="5" fillId="0" borderId="1" numFmtId="0" xfId="0" applyFont="1" applyBorder="1" applyAlignment="1">
      <alignment horizontal="center" vertical="center" wrapText="1"/>
    </xf>
    <xf fontId="7" fillId="0" borderId="0" numFmtId="0" xfId="0" applyFont="1"/>
    <xf fontId="4" fillId="0" borderId="0" numFmtId="0" xfId="0" applyFont="1"/>
    <xf fontId="1" fillId="4" borderId="1" numFmtId="0" xfId="0" applyFont="1" applyFill="1" applyBorder="1" applyAlignment="1">
      <alignment horizontal="center" vertical="center" wrapText="1"/>
    </xf>
    <xf fontId="1" fillId="4" borderId="1" numFmtId="0" xfId="0" applyFont="1" applyFill="1" applyBorder="1" applyAlignment="1">
      <alignment horizontal="center"/>
    </xf>
    <xf fontId="8" fillId="4" borderId="1" numFmtId="0" xfId="0" applyFont="1" applyFill="1" applyBorder="1" applyAlignment="1">
      <alignment horizontal="center" vertical="center"/>
    </xf>
    <xf fontId="9" fillId="0" borderId="1" numFmtId="0" xfId="0" applyFont="1" applyBorder="1" applyAlignment="1">
      <alignment horizontal="left" vertical="center" wrapText="1"/>
    </xf>
    <xf fontId="5" fillId="0" borderId="0" numFmtId="0" xfId="0" applyFont="1" applyAlignment="1">
      <alignment horizontal="center"/>
    </xf>
    <xf fontId="4" fillId="0" borderId="0" numFmtId="0" xfId="0" applyFont="1" applyAlignment="1">
      <alignment horizontal="center" vertical="center"/>
    </xf>
    <xf fontId="7" fillId="0" borderId="0" numFmtId="0" xfId="0" applyFont="1" applyAlignment="1">
      <alignment vertical="center" wrapText="1"/>
    </xf>
    <xf fontId="6" fillId="5" borderId="2" numFmtId="0" xfId="0" applyFont="1" applyFill="1" applyBorder="1" applyAlignment="1">
      <alignment horizontal="center" vertical="center" wrapText="1"/>
    </xf>
    <xf fontId="6" fillId="5" borderId="3" numFmtId="0" xfId="0" applyFont="1" applyFill="1" applyBorder="1" applyAlignment="1">
      <alignment horizontal="center" vertical="center" wrapText="1"/>
    </xf>
    <xf fontId="6" fillId="5" borderId="4" numFmtId="0" xfId="0" applyFont="1" applyFill="1" applyBorder="1" applyAlignment="1">
      <alignment vertical="center" wrapText="1"/>
    </xf>
    <xf fontId="0" fillId="0" borderId="0" numFmtId="0" xfId="0" applyAlignment="1">
      <alignment vertical="center" wrapText="1"/>
    </xf>
    <xf fontId="2" fillId="0" borderId="0" numFmtId="0" xfId="0" applyFont="1" applyAlignment="1">
      <alignment vertical="center"/>
    </xf>
    <xf fontId="2" fillId="0" borderId="0" numFmtId="0" xfId="0" applyFont="1" applyAlignment="1">
      <alignment horizontal="right" vertical="center" wrapText="1"/>
    </xf>
    <xf fontId="5" fillId="0" borderId="1" numFmtId="0" xfId="0" applyFont="1" applyBorder="1" applyAlignment="1">
      <alignment horizontal="center" vertical="center"/>
    </xf>
    <xf fontId="4" fillId="0" borderId="0" numFmtId="0" xfId="0" applyFont="1" applyAlignment="1">
      <alignment horizontal="center"/>
    </xf>
    <xf fontId="1" fillId="0" borderId="0" numFmtId="0" xfId="0" applyFont="1" applyAlignment="1">
      <alignment horizontal="center" vertical="center" wrapText="1"/>
    </xf>
    <xf fontId="7" fillId="0" borderId="0" numFmtId="0" xfId="0" applyFont="1" applyAlignment="1">
      <alignment vertical="center"/>
    </xf>
    <xf fontId="1" fillId="6" borderId="2" numFmtId="0" xfId="0" applyFont="1" applyFill="1" applyBorder="1" applyAlignment="1">
      <alignment horizontal="center" vertical="center" wrapText="1"/>
    </xf>
    <xf fontId="1" fillId="6" borderId="4" numFmtId="0" xfId="0" applyFont="1" applyFill="1" applyBorder="1" applyAlignment="1">
      <alignment horizontal="center" vertical="center" wrapText="1"/>
    </xf>
    <xf fontId="1" fillId="6" borderId="1" numFmtId="0" xfId="0" applyFont="1" applyFill="1" applyBorder="1" applyAlignment="1">
      <alignment horizontal="center"/>
    </xf>
    <xf fontId="10" fillId="6" borderId="0" numFmtId="0" xfId="0" applyFont="1" applyFill="1" applyAlignment="1">
      <alignment horizontal="center"/>
    </xf>
    <xf fontId="5" fillId="0" borderId="0" numFmtId="0" xfId="0" applyFont="1" applyAlignment="1">
      <alignment horizontal="center" vertical="center" wrapText="1"/>
    </xf>
    <xf fontId="6" fillId="7" borderId="2" numFmtId="0" xfId="0" applyFont="1" applyFill="1" applyBorder="1" applyAlignment="1">
      <alignment horizontal="center" vertical="center" wrapText="1"/>
    </xf>
    <xf fontId="6" fillId="7" borderId="3" numFmtId="0" xfId="0" applyFont="1" applyFill="1" applyBorder="1" applyAlignment="1">
      <alignment horizontal="center" vertical="center" wrapText="1"/>
    </xf>
    <xf fontId="6" fillId="7" borderId="3" numFmtId="0" xfId="0" applyFont="1" applyFill="1" applyBorder="1" applyAlignment="1">
      <alignment vertical="center" wrapText="1"/>
    </xf>
    <xf fontId="2" fillId="0" borderId="0" numFmtId="0" xfId="0" applyFont="1" applyAlignment="1">
      <alignment horizontal="center"/>
    </xf>
    <xf fontId="5" fillId="0" borderId="0" numFmtId="0" xfId="0" applyFont="1" applyAlignment="1">
      <alignment horizontal="center" vertical="center"/>
    </xf>
    <xf fontId="0" fillId="0" borderId="0" numFmtId="0" xfId="0" applyAlignment="1">
      <alignment vertical="center"/>
    </xf>
    <xf fontId="2" fillId="0" borderId="0" numFmtId="0" xfId="0" applyFont="1" applyAlignment="1">
      <alignment horizontal="center" vertical="center"/>
    </xf>
    <xf fontId="11" fillId="0" borderId="1" numFmtId="0" xfId="0" applyFont="1" applyBorder="1" applyAlignment="1">
      <alignment horizontal="center" vertical="center"/>
    </xf>
    <xf fontId="0" fillId="0" borderId="0" numFmtId="0" xfId="0" applyAlignment="1">
      <alignment horizontal="left" vertical="top" wrapText="1"/>
    </xf>
    <xf fontId="12" fillId="0" borderId="0" numFmtId="0" xfId="0" applyFont="1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0" numFmtId="0" xfId="0" applyAlignment="1">
      <alignment wrapText="1"/>
    </xf>
    <xf fontId="13" fillId="6" borderId="6" numFmtId="0" xfId="0" applyFont="1" applyFill="1" applyBorder="1" applyAlignment="1">
      <alignment horizontal="center" vertical="center"/>
    </xf>
    <xf fontId="13" fillId="6" borderId="0" numFmtId="0" xfId="0" applyFont="1" applyFill="1" applyAlignment="1">
      <alignment horizontal="center" vertical="center"/>
    </xf>
    <xf fontId="14" fillId="6" borderId="7" numFmtId="0" xfId="0" applyFont="1" applyFill="1" applyBorder="1" applyAlignment="1">
      <alignment horizontal="center"/>
    </xf>
    <xf fontId="14" fillId="6" borderId="8" numFmtId="0" xfId="0" applyFont="1" applyFill="1" applyBorder="1" applyAlignment="1">
      <alignment horizontal="center"/>
    </xf>
    <xf fontId="0" fillId="8" borderId="9" numFmtId="0" xfId="0" applyFill="1" applyBorder="1" applyAlignment="1">
      <alignment wrapText="1"/>
    </xf>
    <xf fontId="8" fillId="6" borderId="10" numFmtId="0" xfId="0" applyFont="1" applyFill="1" applyBorder="1" applyAlignment="1">
      <alignment horizontal="center" vertical="center"/>
    </xf>
    <xf fontId="8" fillId="6" borderId="11" numFmtId="0" xfId="0" applyFont="1" applyFill="1" applyBorder="1" applyAlignment="1">
      <alignment horizontal="center" vertical="center" wrapText="1"/>
    </xf>
    <xf fontId="15" fillId="9" borderId="12" numFmtId="0" xfId="0" applyFont="1" applyFill="1" applyBorder="1" applyAlignment="1">
      <alignment horizontal="center" vertical="center" wrapText="1"/>
    </xf>
    <xf fontId="0" fillId="10" borderId="13" numFmtId="0" xfId="0" applyFill="1" applyBorder="1" applyAlignment="1">
      <alignment wrapText="1"/>
    </xf>
    <xf fontId="0" fillId="0" borderId="14" numFmtId="14" xfId="0" applyNumberFormat="1" applyBorder="1" applyAlignment="1">
      <alignment horizontal="center" vertical="center"/>
    </xf>
    <xf fontId="0" fillId="0" borderId="15" numFmtId="14" xfId="0" applyNumberFormat="1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8" borderId="1" numFmtId="0" xfId="0" applyFill="1" applyBorder="1" applyAlignment="1">
      <alignment wrapText="1"/>
    </xf>
    <xf fontId="8" fillId="6" borderId="16" numFmtId="0" xfId="0" applyFont="1" applyFill="1" applyBorder="1" applyAlignment="1">
      <alignment horizontal="center" vertical="center"/>
    </xf>
    <xf fontId="8" fillId="6" borderId="17" numFmtId="0" xfId="0" applyFont="1" applyFill="1" applyBorder="1" applyAlignment="1">
      <alignment horizontal="center" vertical="center" wrapText="1"/>
    </xf>
    <xf fontId="15" fillId="9" borderId="18" numFmtId="0" xfId="0" applyFont="1" applyFill="1" applyBorder="1" applyAlignment="1">
      <alignment horizontal="center" vertical="center" wrapText="1"/>
    </xf>
    <xf fontId="0" fillId="10" borderId="9" numFmtId="0" xfId="0" applyFill="1" applyBorder="1" applyAlignment="1">
      <alignment wrapText="1"/>
    </xf>
    <xf fontId="0" fillId="0" borderId="19" numFmtId="0" xfId="0" applyBorder="1" applyAlignment="1">
      <alignment horizontal="center" vertical="center"/>
    </xf>
    <xf fontId="0" fillId="0" borderId="20" numFmtId="0" xfId="0" applyBorder="1" applyAlignment="1">
      <alignment horizontal="center" vertical="center"/>
    </xf>
    <xf fontId="0" fillId="0" borderId="21" numFmtId="0" xfId="0" applyBorder="1" applyAlignment="1">
      <alignment horizontal="center" vertical="center"/>
    </xf>
    <xf fontId="0" fillId="7" borderId="1" numFmtId="0" xfId="0" applyFill="1" applyBorder="1" applyAlignment="1">
      <alignment wrapText="1"/>
    </xf>
    <xf fontId="15" fillId="9" borderId="22" numFmtId="0" xfId="0" applyFont="1" applyFill="1" applyBorder="1" applyAlignment="1">
      <alignment horizontal="center" vertical="center" wrapText="1"/>
    </xf>
    <xf fontId="0" fillId="11" borderId="9" numFmtId="0" xfId="0" applyFill="1" applyBorder="1" applyAlignment="1">
      <alignment wrapText="1"/>
    </xf>
    <xf fontId="0" fillId="0" borderId="23" numFmtId="0" xfId="0" applyBorder="1" applyAlignment="1">
      <alignment horizontal="center" vertical="center"/>
    </xf>
    <xf fontId="0" fillId="0" borderId="24" numFmtId="0" xfId="0" applyBorder="1" applyAlignment="1">
      <alignment horizontal="center" vertical="center"/>
    </xf>
    <xf fontId="0" fillId="0" borderId="25" numFmtId="0" xfId="0" applyBorder="1" applyAlignment="1">
      <alignment horizontal="center" vertical="center"/>
    </xf>
    <xf fontId="0" fillId="0" borderId="26" numFmtId="14" xfId="0" applyNumberFormat="1" applyBorder="1" applyAlignment="1">
      <alignment horizontal="center" vertical="center"/>
    </xf>
    <xf fontId="0" fillId="0" borderId="27" numFmtId="0" xfId="0" applyBorder="1" applyAlignment="1">
      <alignment horizontal="center" vertical="center"/>
    </xf>
    <xf fontId="0" fillId="7" borderId="9" numFmtId="0" xfId="0" applyFill="1" applyBorder="1" applyAlignment="1">
      <alignment wrapText="1"/>
    </xf>
    <xf fontId="8" fillId="6" borderId="4" numFmtId="0" xfId="0" applyFont="1" applyFill="1" applyBorder="1" applyAlignment="1">
      <alignment horizontal="center" vertical="center" wrapText="1"/>
    </xf>
    <xf fontId="0" fillId="10" borderId="1" numFmtId="0" xfId="0" applyFill="1" applyBorder="1" applyAlignment="1">
      <alignment wrapText="1"/>
    </xf>
    <xf fontId="0" fillId="0" borderId="28" numFmtId="0" xfId="0" applyBorder="1" applyAlignment="1">
      <alignment horizontal="center" vertical="center"/>
    </xf>
    <xf fontId="0" fillId="7" borderId="13" numFmtId="0" xfId="0" applyFill="1" applyBorder="1" applyAlignment="1">
      <alignment wrapText="1"/>
    </xf>
    <xf fontId="0" fillId="11" borderId="1" numFmtId="0" xfId="0" applyFill="1" applyBorder="1" applyAlignment="1">
      <alignment wrapText="1"/>
    </xf>
    <xf fontId="16" fillId="0" borderId="0" numFmtId="0" xfId="0" applyFont="1"/>
    <xf fontId="15" fillId="9" borderId="29" numFmtId="0" xfId="0" applyFont="1" applyFill="1" applyBorder="1" applyAlignment="1">
      <alignment horizontal="center" vertical="center" wrapText="1"/>
    </xf>
    <xf fontId="0" fillId="0" borderId="9" numFmtId="14" xfId="0" applyNumberFormat="1" applyBorder="1" applyAlignment="1">
      <alignment horizontal="center" vertical="center"/>
    </xf>
    <xf fontId="0" fillId="0" borderId="30" numFmtId="0" xfId="0" applyBorder="1" applyAlignment="1">
      <alignment horizontal="center" vertical="center"/>
    </xf>
    <xf fontId="0" fillId="0" borderId="31" numFmtId="14" xfId="0" applyNumberFormat="1" applyBorder="1" applyAlignment="1">
      <alignment horizontal="center" vertical="center"/>
    </xf>
    <xf fontId="0" fillId="0" borderId="32" numFmtId="0" xfId="0" applyBorder="1" applyAlignment="1">
      <alignment horizontal="center" vertical="center"/>
    </xf>
    <xf fontId="0" fillId="7" borderId="0" numFmtId="0" xfId="0" applyFill="1"/>
    <xf fontId="0" fillId="7" borderId="33" numFmtId="0" xfId="0" applyFill="1" applyBorder="1" applyAlignment="1" quotePrefix="1">
      <alignment wrapText="1"/>
    </xf>
    <xf fontId="8" fillId="6" borderId="3" numFmtId="0" xfId="0" applyFont="1" applyFill="1" applyBorder="1" applyAlignment="1">
      <alignment horizontal="center" vertical="center" wrapText="1"/>
    </xf>
    <xf fontId="14" fillId="4" borderId="34" numFmtId="0" xfId="0" applyFont="1" applyFill="1" applyBorder="1" applyAlignment="1">
      <alignment horizontal="center" vertical="center"/>
    </xf>
    <xf fontId="0" fillId="10" borderId="33" numFmtId="0" xfId="0" applyFill="1" applyBorder="1" applyAlignment="1" quotePrefix="1">
      <alignment wrapText="1"/>
    </xf>
    <xf fontId="0" fillId="0" borderId="35" numFmtId="14" xfId="0" applyNumberFormat="1" applyBorder="1" applyAlignment="1">
      <alignment horizontal="center" vertical="center"/>
    </xf>
    <xf fontId="0" fillId="0" borderId="34" numFmtId="0" xfId="0" applyBorder="1" applyAlignment="1">
      <alignment horizontal="center"/>
    </xf>
    <xf fontId="0" fillId="7" borderId="31" numFmtId="0" xfId="0" applyFill="1" applyBorder="1" applyAlignment="1">
      <alignment wrapText="1"/>
    </xf>
    <xf fontId="0" fillId="10" borderId="36" numFmtId="0" xfId="0" applyFill="1" applyBorder="1" applyAlignment="1">
      <alignment wrapText="1"/>
    </xf>
    <xf fontId="0" fillId="0" borderId="37" numFmtId="14" xfId="0" applyNumberFormat="1" applyBorder="1" applyAlignment="1">
      <alignment horizontal="center" vertical="center"/>
    </xf>
    <xf fontId="0" fillId="0" borderId="38" numFmtId="0" xfId="0" applyBorder="1" applyAlignment="1">
      <alignment horizontal="center" vertical="center"/>
    </xf>
    <xf fontId="0" fillId="0" borderId="26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7" borderId="36" numFmtId="0" xfId="0" applyFill="1" applyBorder="1" applyAlignment="1">
      <alignment wrapText="1"/>
    </xf>
    <xf fontId="0" fillId="12" borderId="1" numFmtId="0" xfId="0" applyFill="1" applyBorder="1" applyAlignment="1">
      <alignment wrapText="1"/>
    </xf>
    <xf fontId="0" fillId="12" borderId="31" numFmtId="0" xfId="0" applyFill="1" applyBorder="1" applyAlignment="1">
      <alignment wrapText="1"/>
    </xf>
    <xf fontId="8" fillId="6" borderId="39" numFmtId="0" xfId="0" applyFont="1" applyFill="1" applyBorder="1" applyAlignment="1">
      <alignment horizontal="center" vertical="center"/>
    </xf>
    <xf fontId="8" fillId="6" borderId="40" numFmtId="0" xfId="0" applyFont="1" applyFill="1" applyBorder="1" applyAlignment="1">
      <alignment horizontal="center" vertical="center" wrapText="1"/>
    </xf>
    <xf fontId="17" fillId="4" borderId="41" numFmtId="0" xfId="0" applyFont="1" applyFill="1" applyBorder="1" applyAlignment="1">
      <alignment horizontal="center" vertical="center" wrapText="1"/>
    </xf>
    <xf fontId="17" fillId="4" borderId="42" numFmtId="0" xfId="0" applyFont="1" applyFill="1" applyBorder="1" applyAlignment="1">
      <alignment horizontal="center" vertical="center" wrapText="1"/>
    </xf>
    <xf fontId="0" fillId="0" borderId="43" numFmtId="14" xfId="0" applyNumberFormat="1" applyBorder="1" applyAlignment="1">
      <alignment horizontal="center" vertical="center"/>
    </xf>
    <xf fontId="0" fillId="0" borderId="44" numFmtId="14" xfId="0" applyNumberFormat="1" applyBorder="1" applyAlignment="1">
      <alignment horizontal="center" vertical="center"/>
    </xf>
    <xf fontId="0" fillId="0" borderId="45" numFmtId="0" xfId="0" applyBorder="1" applyAlignment="1">
      <alignment horizontal="center" vertical="center"/>
    </xf>
    <xf fontId="18" fillId="0" borderId="34" numFmtId="0" xfId="0" applyFont="1" applyBorder="1" applyAlignment="1">
      <alignment horizontal="center" vertical="center"/>
    </xf>
    <xf fontId="8" fillId="6" borderId="12" numFmtId="0" xfId="0" applyFont="1" applyFill="1" applyBorder="1" applyAlignment="1">
      <alignment horizontal="center" vertical="center" wrapText="1"/>
    </xf>
    <xf fontId="0" fillId="8" borderId="9" numFmtId="0" xfId="0" applyFill="1" applyBorder="1" applyAlignment="1" quotePrefix="1">
      <alignment wrapText="1"/>
    </xf>
    <xf fontId="0" fillId="0" borderId="46" numFmtId="14" xfId="0" applyNumberFormat="1" applyBorder="1" applyAlignment="1">
      <alignment horizontal="center" vertical="center"/>
    </xf>
    <xf fontId="0" fillId="0" borderId="47" numFmtId="14" xfId="0" applyNumberFormat="1" applyBorder="1" applyAlignment="1">
      <alignment horizontal="center" vertical="center"/>
    </xf>
    <xf fontId="0" fillId="0" borderId="48" numFmtId="0" xfId="0" applyBorder="1" applyAlignment="1">
      <alignment horizontal="center" vertical="center"/>
    </xf>
    <xf fontId="8" fillId="6" borderId="18" numFmtId="0" xfId="0" applyFont="1" applyFill="1" applyBorder="1" applyAlignment="1">
      <alignment horizontal="center" vertical="center" wrapText="1"/>
    </xf>
    <xf fontId="0" fillId="0" borderId="19" numFmtId="14" xfId="0" applyNumberFormat="1" applyBorder="1" applyAlignment="1">
      <alignment horizontal="center" vertical="center"/>
    </xf>
    <xf fontId="0" fillId="0" borderId="49" numFmtId="14" xfId="0" applyNumberFormat="1" applyBorder="1" applyAlignment="1">
      <alignment horizontal="center" vertical="center"/>
    </xf>
    <xf fontId="0" fillId="0" borderId="50" numFmtId="14" xfId="0" applyNumberFormat="1" applyBorder="1" applyAlignment="1">
      <alignment horizontal="center" vertical="center"/>
    </xf>
    <xf fontId="0" fillId="0" borderId="51" numFmtId="14" xfId="0" applyNumberFormat="1" applyBorder="1" applyAlignment="1">
      <alignment horizontal="center" vertical="center"/>
    </xf>
    <xf fontId="0" fillId="0" borderId="52" numFmtId="0" xfId="0" applyBorder="1" applyAlignment="1">
      <alignment horizontal="center" vertical="center"/>
    </xf>
    <xf fontId="0" fillId="0" borderId="53" numFmtId="14" xfId="0" applyNumberFormat="1" applyBorder="1" applyAlignment="1">
      <alignment horizontal="center" vertical="center"/>
    </xf>
    <xf fontId="0" fillId="0" borderId="54" numFmtId="14" xfId="0" applyNumberFormat="1" applyBorder="1" applyAlignment="1">
      <alignment horizontal="center" vertical="center"/>
    </xf>
    <xf fontId="0" fillId="0" borderId="55" numFmtId="0" xfId="0" applyBorder="1" applyAlignment="1">
      <alignment horizontal="center" vertical="center"/>
    </xf>
    <xf fontId="0" fillId="11" borderId="9" numFmtId="0" xfId="0" applyFill="1" applyBorder="1" applyAlignment="1" quotePrefix="1">
      <alignment wrapText="1"/>
    </xf>
    <xf fontId="0" fillId="0" borderId="23" numFmtId="14" xfId="0" applyNumberFormat="1" applyBorder="1" applyAlignment="1">
      <alignment horizontal="center" vertical="center"/>
    </xf>
    <xf fontId="0" fillId="0" borderId="56" numFmtId="14" xfId="0" applyNumberFormat="1" applyBorder="1" applyAlignment="1">
      <alignment horizontal="center" vertical="center"/>
    </xf>
    <xf fontId="0" fillId="0" borderId="31" numFmtId="14" xfId="0" applyNumberFormat="1" applyBorder="1" applyAlignment="1">
      <alignment horizontal="center"/>
    </xf>
    <xf fontId="8" fillId="6" borderId="57" numFmtId="0" xfId="0" applyFont="1" applyFill="1" applyBorder="1" applyAlignment="1">
      <alignment horizontal="center" vertical="center" wrapText="1"/>
    </xf>
    <xf fontId="0" fillId="8" borderId="58" numFmtId="0" xfId="0" applyFill="1" applyBorder="1" applyAlignment="1">
      <alignment wrapText="1"/>
    </xf>
    <xf fontId="0" fillId="0" borderId="59" numFmtId="14" xfId="0" applyNumberFormat="1" applyBorder="1" applyAlignment="1">
      <alignment horizontal="center" vertical="center"/>
    </xf>
    <xf fontId="0" fillId="0" borderId="60" numFmtId="0" xfId="0" applyBorder="1" applyAlignment="1">
      <alignment horizontal="center" vertical="center"/>
    </xf>
    <xf fontId="8" fillId="6" borderId="61" numFmtId="0" xfId="0" applyFont="1" applyFill="1" applyBorder="1" applyAlignment="1">
      <alignment horizontal="center" vertical="center" wrapText="1"/>
    </xf>
    <xf fontId="0" fillId="8" borderId="2" numFmtId="0" xfId="0" applyFill="1" applyBorder="1" applyAlignment="1">
      <alignment wrapText="1"/>
    </xf>
    <xf fontId="0" fillId="0" borderId="62" numFmtId="14" xfId="0" applyNumberFormat="1" applyBorder="1" applyAlignment="1">
      <alignment horizontal="center" vertical="center"/>
    </xf>
    <xf fontId="0" fillId="0" borderId="62" numFmtId="0" xfId="0" applyBorder="1" applyAlignment="1">
      <alignment horizontal="center" vertical="center"/>
    </xf>
    <xf fontId="0" fillId="0" borderId="63" numFmtId="0" xfId="0" applyBorder="1" applyAlignment="1">
      <alignment horizontal="center" vertical="center"/>
    </xf>
    <xf fontId="0" fillId="0" borderId="64" numFmtId="14" xfId="0" applyNumberFormat="1" applyBorder="1" applyAlignment="1">
      <alignment horizontal="center" vertical="center"/>
    </xf>
    <xf fontId="0" fillId="0" borderId="64" numFmtId="0" xfId="0" applyBorder="1" applyAlignment="1">
      <alignment horizontal="center" vertical="center"/>
    </xf>
    <xf fontId="0" fillId="0" borderId="65" numFmtId="0" xfId="0" applyBorder="1" applyAlignment="1">
      <alignment horizontal="center" vertical="center"/>
    </xf>
    <xf fontId="8" fillId="6" borderId="66" numFmtId="0" xfId="0" applyFont="1" applyFill="1" applyBorder="1" applyAlignment="1">
      <alignment horizontal="center" vertical="center" wrapText="1"/>
    </xf>
    <xf fontId="0" fillId="0" borderId="67" numFmtId="14" xfId="0" applyNumberFormat="1" applyBorder="1" applyAlignment="1">
      <alignment horizontal="center" vertical="center"/>
    </xf>
    <xf fontId="0" fillId="0" borderId="68" numFmtId="14" xfId="0" applyNumberFormat="1" applyBorder="1" applyAlignment="1">
      <alignment horizontal="center" vertical="center"/>
    </xf>
    <xf fontId="0" fillId="0" borderId="69" numFmtId="0" xfId="0" applyBorder="1" applyAlignment="1">
      <alignment horizontal="center" vertical="center"/>
    </xf>
    <xf fontId="18" fillId="0" borderId="70" numFmtId="0" xfId="0" applyFont="1" applyBorder="1" applyAlignment="1">
      <alignment horizontal="center" vertical="center"/>
    </xf>
    <xf fontId="8" fillId="6" borderId="71" numFmtId="0" xfId="0" applyFont="1" applyFill="1" applyBorder="1" applyAlignment="1">
      <alignment horizontal="center" vertical="center" wrapText="1"/>
    </xf>
    <xf fontId="0" fillId="10" borderId="58" numFmtId="0" xfId="0" applyFill="1" applyBorder="1" applyAlignment="1">
      <alignment wrapText="1"/>
    </xf>
    <xf fontId="0" fillId="0" borderId="72" numFmtId="14" xfId="0" applyNumberFormat="1" applyBorder="1" applyAlignment="1">
      <alignment horizontal="center" vertical="center"/>
    </xf>
    <xf fontId="0" fillId="0" borderId="73" numFmtId="0" xfId="0" applyBorder="1" applyAlignment="1">
      <alignment horizontal="center" vertical="center"/>
    </xf>
    <xf fontId="8" fillId="6" borderId="74" numFmtId="0" xfId="0" applyFont="1" applyFill="1" applyBorder="1" applyAlignment="1">
      <alignment horizontal="center" vertical="center" wrapText="1"/>
    </xf>
    <xf fontId="0" fillId="10" borderId="75" numFmtId="0" xfId="0" applyFill="1" applyBorder="1" applyAlignment="1">
      <alignment wrapText="1"/>
    </xf>
    <xf fontId="0" fillId="0" borderId="76" numFmtId="14" xfId="0" applyNumberFormat="1" applyBorder="1" applyAlignment="1">
      <alignment horizontal="center" vertical="center"/>
    </xf>
    <xf fontId="0" fillId="0" borderId="77" numFmtId="0" xfId="0" applyBorder="1" applyAlignment="1">
      <alignment horizontal="center" vertical="center"/>
    </xf>
    <xf fontId="0" fillId="10" borderId="2" numFmtId="0" xfId="0" applyFill="1" applyBorder="1" applyAlignment="1">
      <alignment wrapText="1"/>
    </xf>
    <xf fontId="0" fillId="0" borderId="78" numFmtId="14" xfId="0" applyNumberFormat="1" applyBorder="1" applyAlignment="1">
      <alignment horizontal="center" vertical="center"/>
    </xf>
    <xf fontId="0" fillId="0" borderId="79" numFmtId="0" xfId="0" applyBorder="1" applyAlignment="1">
      <alignment horizontal="center" vertical="center"/>
    </xf>
    <xf fontId="0" fillId="0" borderId="80" numFmtId="14" xfId="0" applyNumberFormat="1" applyBorder="1" applyAlignment="1">
      <alignment horizontal="center" vertical="center"/>
    </xf>
    <xf fontId="0" fillId="0" borderId="81" numFmtId="0" xfId="0" applyBorder="1" applyAlignment="1">
      <alignment horizontal="center"/>
    </xf>
    <xf fontId="0" fillId="10" borderId="82" numFmtId="0" xfId="0" applyFill="1" applyBorder="1" applyAlignment="1">
      <alignment wrapText="1"/>
    </xf>
    <xf fontId="0" fillId="0" borderId="83" numFmtId="14" xfId="0" applyNumberFormat="1" applyBorder="1" applyAlignment="1">
      <alignment horizontal="center" vertical="center"/>
    </xf>
    <xf fontId="0" fillId="0" borderId="84" numFmtId="0" xfId="0" applyBorder="1" applyAlignment="1">
      <alignment horizontal="center"/>
    </xf>
    <xf fontId="18" fillId="0" borderId="70" numFmtId="0" xfId="0" applyFont="1" applyBorder="1" applyAlignment="1">
      <alignment horizontal="center"/>
    </xf>
    <xf fontId="8" fillId="6" borderId="8" numFmtId="0" xfId="0" applyFont="1" applyFill="1" applyBorder="1" applyAlignment="1">
      <alignment horizontal="center" vertical="center" wrapText="1"/>
    </xf>
    <xf fontId="0" fillId="8" borderId="58" numFmtId="0" xfId="0" applyFill="1" applyBorder="1" applyAlignment="1">
      <alignment wrapText="1"/>
    </xf>
    <xf fontId="0" fillId="0" borderId="85" numFmtId="14" xfId="0" applyNumberFormat="1" applyBorder="1" applyAlignment="1">
      <alignment horizontal="center" vertical="center"/>
    </xf>
    <xf fontId="0" fillId="0" borderId="86" numFmtId="0" xfId="0" applyBorder="1" applyAlignment="1">
      <alignment horizontal="center"/>
    </xf>
    <xf fontId="8" fillId="6" borderId="21" numFmtId="0" xfId="0" applyFont="1" applyFill="1" applyBorder="1" applyAlignment="1">
      <alignment horizontal="center" vertical="center" wrapText="1"/>
    </xf>
    <xf fontId="0" fillId="8" borderId="82" numFmtId="0" xfId="0" applyFill="1" applyBorder="1" applyAlignment="1">
      <alignment wrapText="1"/>
    </xf>
    <xf fontId="8" fillId="6" borderId="87" numFmtId="0" xfId="0" applyFont="1" applyFill="1" applyBorder="1" applyAlignment="1">
      <alignment horizontal="center" vertical="center" wrapText="1"/>
    </xf>
    <xf fontId="0" fillId="0" borderId="88" numFmtId="14" xfId="0" applyNumberFormat="1" applyBorder="1" applyAlignment="1">
      <alignment horizontal="center" vertical="center"/>
    </xf>
    <xf fontId="0" fillId="0" borderId="89" numFmtId="0" xfId="0" applyBorder="1" applyAlignment="1">
      <alignment horizontal="center"/>
    </xf>
    <xf fontId="18" fillId="0" borderId="90" numFmtId="0" xfId="0" applyFont="1" applyBorder="1" applyAlignment="1">
      <alignment horizontal="center"/>
    </xf>
    <xf fontId="18" fillId="0" borderId="91" numFmtId="0" xfId="0" applyFont="1" applyBorder="1" applyAlignment="1">
      <alignment horizontal="center"/>
    </xf>
    <xf fontId="18" fillId="0" borderId="92" numFmtId="0" xfId="0" applyFont="1" applyBorder="1" applyAlignment="1">
      <alignment horizontal="center"/>
    </xf>
    <xf fontId="18" fillId="0" borderId="34" numFmtId="0" xfId="0" applyFont="1" applyBorder="1" applyAlignment="1">
      <alignment horizontal="center"/>
    </xf>
    <xf fontId="19" fillId="0" borderId="80" numFmtId="0" xfId="0" applyFont="1" applyBorder="1" applyAlignment="1">
      <alignment horizontal="center"/>
    </xf>
    <xf fontId="17" fillId="11" borderId="34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11</xdr:col>
      <xdr:colOff>584211</xdr:colOff>
      <xdr:row>89</xdr:row>
      <xdr:rowOff>96806</xdr:rowOff>
    </xdr:from>
    <xdr:to>
      <xdr:col>11</xdr:col>
      <xdr:colOff>592131</xdr:colOff>
      <xdr:row>89</xdr:row>
      <xdr:rowOff>104006</xdr:rowOff>
    </xdr:to>
    <xdr:pic>
      <xdr:nvPicPr>
        <xdr:cNvPr id="2" name="Entrada de lápiz 1"/>
        <xdr:cNvPicPr/>
      </xdr:nvPicPr>
      <xdr:blipFill rotWithShape="1">
        <a:blip r:embed="rId1"/>
        <a:stretch/>
      </xdr:blipFill>
      <xdr:spPr bwMode="auto">
        <a:xfrm>
          <a:off x="12519720" y="17845286"/>
          <a:ext cx="20160" cy="1944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30" workbookViewId="0">
      <selection activeCell="C14" activeCellId="0" sqref="C14"/>
    </sheetView>
  </sheetViews>
  <sheetFormatPr baseColWidth="10" defaultColWidth="10.88671875" defaultRowHeight="14.4"/>
  <cols>
    <col customWidth="1" min="1" max="1" width="5.33203125"/>
    <col bestFit="1" customWidth="1" min="2" max="2" width="9.33203125"/>
    <col bestFit="1" customWidth="1" min="3" max="3" width="44.5546875"/>
    <col bestFit="1" customWidth="1" min="4" max="4" width="6.5546875"/>
    <col bestFit="1" customWidth="1" min="5" max="5" width="9"/>
    <col bestFit="1" customWidth="1" min="6" max="6" width="29.5546875"/>
    <col customWidth="1" min="7" max="7" width="5.109375"/>
    <col customWidth="1" min="8" max="8" width="4.5546875"/>
    <col bestFit="1" customWidth="1" min="10" max="10" width="7.109375"/>
    <col bestFit="1" customWidth="1" min="11" max="11" width="9.33203125"/>
    <col bestFit="1" customWidth="1" min="12" max="12" width="5.5546875"/>
    <col customWidth="1" min="14" max="14" width="27.44140625"/>
  </cols>
  <sheetData>
    <row r="1">
      <c r="B1" s="1" t="s">
        <v>0</v>
      </c>
      <c r="C1" s="1"/>
      <c r="D1" s="1" t="s">
        <v>1</v>
      </c>
      <c r="E1" s="1" t="s">
        <v>2</v>
      </c>
      <c r="F1" s="1" t="s">
        <v>3</v>
      </c>
    </row>
    <row r="2" ht="53.399999999999999">
      <c r="B2" s="2" t="s">
        <v>4</v>
      </c>
      <c r="C2" s="3" t="s">
        <v>5</v>
      </c>
      <c r="D2" s="4">
        <v>40</v>
      </c>
      <c r="E2" s="5">
        <f t="shared" ref="E2:E6" si="0">D2/4</f>
        <v>10</v>
      </c>
      <c r="F2" s="6" t="s">
        <v>6</v>
      </c>
      <c r="K2" s="7" t="s">
        <v>7</v>
      </c>
      <c r="L2" s="8"/>
      <c r="M2" s="8"/>
      <c r="N2" s="8"/>
    </row>
    <row r="3" ht="61.5" customHeight="1">
      <c r="B3" s="2" t="s">
        <v>8</v>
      </c>
      <c r="C3" s="9" t="s">
        <v>9</v>
      </c>
      <c r="D3" s="5">
        <v>40</v>
      </c>
      <c r="E3" s="5">
        <f t="shared" si="0"/>
        <v>10</v>
      </c>
      <c r="F3" s="6" t="s">
        <v>10</v>
      </c>
      <c r="K3" s="7" t="s">
        <v>11</v>
      </c>
      <c r="L3" s="8"/>
      <c r="M3" s="8"/>
      <c r="N3" s="8"/>
    </row>
    <row r="4" ht="22.5" customHeight="1">
      <c r="B4" s="10" t="s">
        <v>12</v>
      </c>
      <c r="C4" s="11"/>
      <c r="D4" s="12"/>
      <c r="E4" s="12"/>
      <c r="F4" s="13"/>
      <c r="K4" s="7"/>
      <c r="L4" s="8"/>
      <c r="M4" s="8"/>
      <c r="N4" s="8"/>
    </row>
    <row r="5" ht="66.599999999999994">
      <c r="B5" s="2" t="s">
        <v>13</v>
      </c>
      <c r="C5" s="9" t="s">
        <v>14</v>
      </c>
      <c r="D5" s="14">
        <v>40</v>
      </c>
      <c r="E5" s="5">
        <f t="shared" si="0"/>
        <v>10</v>
      </c>
      <c r="F5" s="6" t="s">
        <v>15</v>
      </c>
      <c r="K5" s="7" t="s">
        <v>16</v>
      </c>
      <c r="L5" s="8"/>
      <c r="M5" s="8"/>
      <c r="N5" s="8"/>
    </row>
    <row r="6" ht="79.799999999999997">
      <c r="B6" s="2" t="s">
        <v>17</v>
      </c>
      <c r="C6" s="15" t="s">
        <v>18</v>
      </c>
      <c r="D6" s="14">
        <v>40</v>
      </c>
      <c r="E6" s="5">
        <f t="shared" si="0"/>
        <v>10</v>
      </c>
      <c r="F6" s="6" t="s">
        <v>19</v>
      </c>
      <c r="K6" s="7" t="s">
        <v>20</v>
      </c>
      <c r="L6" s="8"/>
      <c r="M6" s="8"/>
      <c r="N6" s="8"/>
    </row>
    <row r="7" ht="14.4" customHeight="1">
      <c r="B7" s="16" t="s">
        <v>21</v>
      </c>
      <c r="C7" s="17"/>
      <c r="D7" s="17"/>
      <c r="E7" s="18"/>
      <c r="K7" s="7" t="s">
        <v>22</v>
      </c>
      <c r="L7" s="8"/>
      <c r="M7" s="8"/>
      <c r="N7" s="8"/>
    </row>
    <row r="8">
      <c r="C8" s="19" t="s">
        <v>23</v>
      </c>
      <c r="D8" s="20">
        <f>SUM(D2:D6)</f>
        <v>160</v>
      </c>
      <c r="E8" s="21">
        <f>SUM(E2:E6)</f>
        <v>40</v>
      </c>
      <c r="F8" s="22"/>
      <c r="K8" s="7" t="s">
        <v>24</v>
      </c>
      <c r="L8" s="8"/>
      <c r="M8" s="8"/>
      <c r="N8" s="8"/>
    </row>
    <row r="9">
      <c r="F9" s="22"/>
      <c r="G9" s="7"/>
      <c r="H9" s="8"/>
      <c r="I9" s="8"/>
    </row>
    <row r="10">
      <c r="F10" s="23"/>
    </row>
    <row r="12">
      <c r="B12" s="24" t="s">
        <v>25</v>
      </c>
      <c r="C12" s="24"/>
      <c r="D12" s="25" t="s">
        <v>1</v>
      </c>
      <c r="E12" s="25" t="s">
        <v>2</v>
      </c>
      <c r="F12" s="26" t="s">
        <v>3</v>
      </c>
    </row>
    <row r="13" ht="53.399999999999999">
      <c r="B13" s="2" t="s">
        <v>4</v>
      </c>
      <c r="C13" s="27" t="s">
        <v>26</v>
      </c>
      <c r="D13" s="5">
        <v>40</v>
      </c>
      <c r="E13" s="5">
        <f t="shared" ref="E13:E18" si="1">D13/4</f>
        <v>10</v>
      </c>
      <c r="F13" s="6" t="s">
        <v>6</v>
      </c>
    </row>
    <row r="14" ht="53.399999999999999">
      <c r="B14" s="2" t="s">
        <v>8</v>
      </c>
      <c r="C14" s="9" t="s">
        <v>27</v>
      </c>
      <c r="D14" s="5">
        <v>40</v>
      </c>
      <c r="E14" s="5">
        <f t="shared" si="1"/>
        <v>10</v>
      </c>
      <c r="F14" s="6" t="s">
        <v>10</v>
      </c>
      <c r="G14" s="28"/>
      <c r="H14" s="22"/>
    </row>
    <row r="15" ht="33" customHeight="1">
      <c r="B15" s="10" t="s">
        <v>12</v>
      </c>
      <c r="C15" s="11"/>
      <c r="D15" s="12"/>
      <c r="E15" s="12"/>
      <c r="F15" s="13"/>
      <c r="G15" s="28"/>
      <c r="H15" s="22"/>
    </row>
    <row r="16" ht="66.599999999999994">
      <c r="B16" s="2" t="s">
        <v>28</v>
      </c>
      <c r="C16" s="9" t="s">
        <v>29</v>
      </c>
      <c r="D16" s="5">
        <v>40</v>
      </c>
      <c r="E16" s="5">
        <f t="shared" si="1"/>
        <v>10</v>
      </c>
      <c r="F16" s="6" t="s">
        <v>15</v>
      </c>
      <c r="G16" s="29"/>
      <c r="H16" s="30"/>
    </row>
    <row r="17" ht="32.25" customHeight="1">
      <c r="B17" s="31" t="s">
        <v>30</v>
      </c>
      <c r="C17" s="32"/>
      <c r="D17" s="32"/>
      <c r="E17" s="32"/>
      <c r="F17" s="33"/>
      <c r="G17" s="29"/>
      <c r="H17" s="34"/>
    </row>
    <row r="18" ht="79.799999999999997">
      <c r="B18" s="14" t="s">
        <v>17</v>
      </c>
      <c r="C18" s="9" t="s">
        <v>31</v>
      </c>
      <c r="D18" s="5">
        <v>40</v>
      </c>
      <c r="E18" s="5">
        <f t="shared" si="1"/>
        <v>10</v>
      </c>
      <c r="F18" s="6" t="s">
        <v>19</v>
      </c>
      <c r="G18" s="29"/>
      <c r="H18" s="30"/>
    </row>
    <row r="19">
      <c r="B19" s="35"/>
      <c r="C19" s="36" t="s">
        <v>23</v>
      </c>
      <c r="D19" s="37">
        <f>SUM(D13:D16,D18:D18)</f>
        <v>160</v>
      </c>
      <c r="E19" s="21">
        <f>SUM(E13:E18)</f>
        <v>40</v>
      </c>
      <c r="F19" s="38"/>
      <c r="G19" s="29"/>
      <c r="H19" s="30"/>
    </row>
    <row r="20">
      <c r="F20" s="38"/>
      <c r="G20" s="29"/>
      <c r="H20" s="30"/>
    </row>
    <row r="21">
      <c r="F21" s="38"/>
      <c r="G21" s="29"/>
      <c r="H21" s="30"/>
    </row>
    <row r="22">
      <c r="F22" s="38"/>
      <c r="G22" s="29"/>
      <c r="H22" s="30"/>
    </row>
    <row r="23">
      <c r="F23" s="38"/>
      <c r="G23" s="29"/>
      <c r="H23" s="30"/>
    </row>
    <row r="24">
      <c r="B24" s="39"/>
      <c r="C24" s="39"/>
      <c r="D24" s="28"/>
      <c r="F24" s="38"/>
      <c r="G24" s="29"/>
      <c r="H24" s="40"/>
    </row>
    <row r="25">
      <c r="B25" s="41" t="s">
        <v>32</v>
      </c>
      <c r="C25" s="42"/>
      <c r="D25" s="43" t="s">
        <v>1</v>
      </c>
      <c r="E25" s="43" t="s">
        <v>2</v>
      </c>
      <c r="F25" s="44" t="s">
        <v>3</v>
      </c>
      <c r="G25" s="29"/>
      <c r="H25" s="30"/>
    </row>
    <row r="26" ht="53.399999999999999">
      <c r="B26" s="2" t="s">
        <v>33</v>
      </c>
      <c r="C26" s="3" t="s">
        <v>34</v>
      </c>
      <c r="D26" s="5">
        <v>40</v>
      </c>
      <c r="E26" s="5">
        <f t="shared" ref="E26:E31" si="2">D26/4</f>
        <v>10</v>
      </c>
      <c r="F26" s="6" t="s">
        <v>6</v>
      </c>
      <c r="G26" s="29"/>
      <c r="H26" s="45"/>
    </row>
    <row r="27" ht="66">
      <c r="B27" s="2" t="s">
        <v>35</v>
      </c>
      <c r="C27" s="9" t="s">
        <v>36</v>
      </c>
      <c r="D27" s="5">
        <v>40</v>
      </c>
      <c r="E27" s="5">
        <f t="shared" si="2"/>
        <v>10</v>
      </c>
      <c r="F27" s="6" t="s">
        <v>10</v>
      </c>
      <c r="G27" s="29"/>
      <c r="H27" s="30"/>
    </row>
    <row r="28" ht="34.5" customHeight="1">
      <c r="B28" s="10" t="s">
        <v>12</v>
      </c>
      <c r="C28" s="11"/>
      <c r="D28" s="12"/>
      <c r="E28" s="12"/>
      <c r="F28" s="13"/>
      <c r="G28" s="29"/>
      <c r="H28" s="30"/>
    </row>
    <row r="29" ht="14.4" customHeight="1">
      <c r="B29" s="46" t="s">
        <v>37</v>
      </c>
      <c r="C29" s="47"/>
      <c r="D29" s="47"/>
      <c r="E29" s="47"/>
      <c r="F29" s="48"/>
      <c r="G29" s="49"/>
      <c r="H29" s="50"/>
    </row>
    <row r="30" ht="66.599999999999994">
      <c r="B30" s="2" t="s">
        <v>13</v>
      </c>
      <c r="C30" s="3" t="s">
        <v>38</v>
      </c>
      <c r="D30" s="5">
        <v>40</v>
      </c>
      <c r="E30" s="5">
        <f t="shared" si="2"/>
        <v>10</v>
      </c>
      <c r="F30" s="6" t="s">
        <v>15</v>
      </c>
      <c r="H30" s="51"/>
    </row>
    <row r="31" ht="79.799999999999997">
      <c r="B31" s="14" t="s">
        <v>39</v>
      </c>
      <c r="C31" s="3" t="s">
        <v>40</v>
      </c>
      <c r="D31" s="5">
        <v>40</v>
      </c>
      <c r="E31" s="5">
        <f t="shared" si="2"/>
        <v>10</v>
      </c>
      <c r="F31" s="6" t="s">
        <v>19</v>
      </c>
      <c r="H31" s="51"/>
    </row>
    <row r="32">
      <c r="B32" s="52"/>
      <c r="C32" s="36" t="s">
        <v>23</v>
      </c>
      <c r="D32" s="53">
        <f>SUM(D26:D31)</f>
        <v>160</v>
      </c>
      <c r="E32" s="21">
        <f>SUM(E26:E27,E30:E31)</f>
        <v>40</v>
      </c>
      <c r="F32" s="49"/>
      <c r="G32" s="28"/>
      <c r="H32" s="50"/>
    </row>
    <row r="33">
      <c r="F33" s="49"/>
      <c r="G33" s="52"/>
      <c r="H33" s="30"/>
    </row>
    <row r="34">
      <c r="F34" s="49"/>
      <c r="G34" s="52"/>
      <c r="H34" s="30"/>
    </row>
    <row r="35">
      <c r="B35" s="54"/>
      <c r="C35" s="54"/>
      <c r="F35" s="49"/>
      <c r="G35" s="52"/>
      <c r="H35" s="30"/>
    </row>
    <row r="36">
      <c r="F36" s="55"/>
      <c r="G36" s="52"/>
      <c r="H36" s="30"/>
    </row>
    <row r="37" ht="14.4" customHeight="1">
      <c r="F37" s="55"/>
      <c r="G37" s="52"/>
      <c r="H37" s="30"/>
    </row>
    <row r="38">
      <c r="F38" s="55"/>
      <c r="G38" s="52"/>
      <c r="H38" s="30"/>
    </row>
    <row r="39">
      <c r="F39" s="55"/>
      <c r="G39" s="52"/>
      <c r="H39" s="30"/>
    </row>
    <row r="40">
      <c r="G40" s="52"/>
      <c r="H40" s="45"/>
    </row>
    <row r="41">
      <c r="A41" s="56"/>
      <c r="G41" s="38"/>
      <c r="H41" s="50"/>
    </row>
  </sheetData>
  <mergeCells count="16">
    <mergeCell ref="B24:C24"/>
    <mergeCell ref="B25:C25"/>
    <mergeCell ref="B28:C28"/>
    <mergeCell ref="B29:E29"/>
    <mergeCell ref="B7:E7"/>
    <mergeCell ref="K7:N7"/>
    <mergeCell ref="K8:N8"/>
    <mergeCell ref="B12:C12"/>
    <mergeCell ref="B15:C15"/>
    <mergeCell ref="B17:E17"/>
    <mergeCell ref="K6:N6"/>
    <mergeCell ref="B1:C1"/>
    <mergeCell ref="K2:N2"/>
    <mergeCell ref="K3:N3"/>
    <mergeCell ref="B4:C4"/>
    <mergeCell ref="K5:N5"/>
  </mergeCells>
  <printOptions headings="0" gridLines="0" horizontalCentered="1" verticalCentered="1"/>
  <pageMargins left="0.25" right="0.25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F0"/>
    <outlinePr applyStyles="0" summaryBelow="1" summaryRight="1" showOutlineSymbols="1"/>
    <pageSetUpPr autoPageBreaks="1" fitToPage="0"/>
  </sheetPr>
  <sheetViews>
    <sheetView topLeftCell="A93" zoomScale="125" workbookViewId="0">
      <selection activeCell="C102" activeCellId="0" sqref="C102:D106"/>
    </sheetView>
  </sheetViews>
  <sheetFormatPr baseColWidth="10" defaultColWidth="8.88671875" defaultRowHeight="14.25"/>
  <cols>
    <col customWidth="1" min="1" max="1" width="14"/>
    <col bestFit="1" customWidth="1" min="2" max="2" width="19"/>
    <col customWidth="1" min="3" max="3" width="21.5546875"/>
    <col customWidth="1" min="4" max="4" style="57" width="39"/>
    <col customWidth="1" min="5" max="5" width="13.109375"/>
    <col customWidth="1" min="6" max="6" width="12.6640625"/>
    <col customWidth="1" min="7" max="7" width="12.109375"/>
    <col customWidth="1" min="8" max="8" width="15.88671875"/>
    <col customWidth="1" min="12" max="12" width="43.88671875"/>
    <col customWidth="1" min="13" max="13" width="9.109375"/>
  </cols>
  <sheetData>
    <row r="1" ht="15" customHeight="1">
      <c r="C1" s="58" t="s">
        <v>41</v>
      </c>
      <c r="D1" s="59"/>
      <c r="E1" s="59"/>
      <c r="F1" s="59"/>
      <c r="G1" s="59"/>
    </row>
    <row r="2">
      <c r="C2" s="58"/>
      <c r="D2" s="59"/>
      <c r="E2" s="59"/>
      <c r="F2" s="59"/>
      <c r="G2" s="59"/>
    </row>
    <row r="3" ht="15"/>
    <row r="4" ht="16.199999999999999">
      <c r="C4" s="60" t="s">
        <v>42</v>
      </c>
      <c r="D4" s="60" t="s">
        <v>43</v>
      </c>
      <c r="E4" s="60" t="s">
        <v>44</v>
      </c>
      <c r="F4" s="60" t="s">
        <v>45</v>
      </c>
      <c r="G4" s="61" t="s">
        <v>46</v>
      </c>
      <c r="H4" s="60" t="s">
        <v>47</v>
      </c>
      <c r="L4" s="62" t="s">
        <v>48</v>
      </c>
    </row>
    <row r="5" ht="15" customHeight="1">
      <c r="A5" s="63" t="s">
        <v>49</v>
      </c>
      <c r="B5" s="64" t="s">
        <v>50</v>
      </c>
      <c r="C5" s="65" t="s">
        <v>51</v>
      </c>
      <c r="D5" s="66" t="s">
        <v>52</v>
      </c>
      <c r="E5" s="67">
        <v>46062</v>
      </c>
      <c r="F5" s="68"/>
      <c r="G5" s="69"/>
      <c r="L5" s="70" t="s">
        <v>53</v>
      </c>
    </row>
    <row r="6" ht="15" customHeight="1">
      <c r="A6" s="71"/>
      <c r="B6" s="72"/>
      <c r="C6" s="73"/>
      <c r="D6" s="74" t="s">
        <v>54</v>
      </c>
      <c r="E6" s="75"/>
      <c r="F6" s="76"/>
      <c r="G6" s="77"/>
      <c r="L6" s="78" t="s">
        <v>55</v>
      </c>
    </row>
    <row r="7" ht="15.75" customHeight="1">
      <c r="A7" s="71"/>
      <c r="B7" s="72"/>
      <c r="C7" s="73"/>
      <c r="D7" s="74" t="s">
        <v>56</v>
      </c>
      <c r="E7" s="75"/>
      <c r="F7" s="76"/>
      <c r="G7" s="77"/>
      <c r="L7" s="78" t="s">
        <v>57</v>
      </c>
    </row>
    <row r="8" ht="15" customHeight="1">
      <c r="A8" s="71"/>
      <c r="B8" s="72"/>
      <c r="C8" s="73"/>
      <c r="D8" s="74" t="s">
        <v>58</v>
      </c>
      <c r="E8" s="75"/>
      <c r="F8" s="76"/>
      <c r="G8" s="77"/>
      <c r="L8" s="78" t="s">
        <v>59</v>
      </c>
    </row>
    <row r="9" ht="15" customHeight="1">
      <c r="A9" s="71"/>
      <c r="B9" s="72"/>
      <c r="C9" s="73"/>
      <c r="D9" s="74" t="s">
        <v>60</v>
      </c>
      <c r="E9" s="75"/>
      <c r="F9" s="76"/>
      <c r="G9" s="77"/>
      <c r="L9" s="78" t="s">
        <v>61</v>
      </c>
    </row>
    <row r="10" ht="15.75" customHeight="1">
      <c r="A10" s="71"/>
      <c r="B10" s="72"/>
      <c r="C10" s="79"/>
      <c r="D10" s="80" t="s">
        <v>62</v>
      </c>
      <c r="E10" s="81"/>
      <c r="F10" s="82"/>
      <c r="G10" s="83"/>
      <c r="L10" s="78" t="s">
        <v>63</v>
      </c>
    </row>
    <row r="11" ht="15" customHeight="1">
      <c r="A11" s="71"/>
      <c r="B11" s="72"/>
      <c r="C11" s="65" t="s">
        <v>64</v>
      </c>
      <c r="D11" s="74" t="s">
        <v>48</v>
      </c>
      <c r="E11" s="84"/>
      <c r="F11" s="84"/>
      <c r="G11" s="85"/>
      <c r="L11" s="86" t="s">
        <v>58</v>
      </c>
    </row>
    <row r="12" ht="15" customHeight="1">
      <c r="A12" s="71"/>
      <c r="B12" s="87"/>
      <c r="C12" s="73"/>
      <c r="D12" s="88" t="s">
        <v>53</v>
      </c>
      <c r="E12" s="84"/>
      <c r="F12" s="84"/>
      <c r="G12" s="89"/>
    </row>
    <row r="13" ht="15" customHeight="1">
      <c r="A13" s="71"/>
      <c r="B13" s="87"/>
      <c r="C13" s="73"/>
      <c r="D13" s="88" t="s">
        <v>55</v>
      </c>
      <c r="E13" s="84"/>
      <c r="F13" s="84"/>
      <c r="G13" s="89"/>
      <c r="L13" s="90" t="s">
        <v>52</v>
      </c>
    </row>
    <row r="14" ht="15" customHeight="1">
      <c r="A14" s="71"/>
      <c r="B14" s="87"/>
      <c r="C14" s="73"/>
      <c r="D14" s="88" t="s">
        <v>59</v>
      </c>
      <c r="E14" s="84"/>
      <c r="F14" s="84"/>
      <c r="G14" s="89"/>
      <c r="L14" s="86" t="s">
        <v>54</v>
      </c>
    </row>
    <row r="15" ht="28.800000000000001">
      <c r="A15" s="71"/>
      <c r="B15" s="87"/>
      <c r="C15" s="73"/>
      <c r="D15" s="88" t="s">
        <v>57</v>
      </c>
      <c r="E15" s="84"/>
      <c r="F15" s="84"/>
      <c r="G15" s="89"/>
      <c r="L15" s="78" t="s">
        <v>65</v>
      </c>
    </row>
    <row r="16">
      <c r="A16" s="71"/>
      <c r="B16" s="87"/>
      <c r="C16" s="73"/>
      <c r="D16" s="91" t="s">
        <v>66</v>
      </c>
      <c r="E16" s="84"/>
      <c r="F16" s="84"/>
      <c r="G16" s="89"/>
      <c r="L16" s="78" t="s">
        <v>67</v>
      </c>
      <c r="R16" s="92"/>
    </row>
    <row r="17" ht="15" customHeight="1">
      <c r="A17" s="71"/>
      <c r="B17" s="87"/>
      <c r="C17" s="73"/>
      <c r="D17" s="88" t="s">
        <v>61</v>
      </c>
      <c r="E17" s="84"/>
      <c r="F17" s="84"/>
      <c r="G17" s="89"/>
    </row>
    <row r="18" ht="15" customHeight="1">
      <c r="A18" s="71"/>
      <c r="B18" s="87"/>
      <c r="C18" s="93"/>
      <c r="D18" s="88" t="s">
        <v>63</v>
      </c>
      <c r="E18" s="94"/>
      <c r="F18" s="94"/>
      <c r="G18" s="95"/>
      <c r="L18" s="78" t="s">
        <v>68</v>
      </c>
    </row>
    <row r="19">
      <c r="A19" s="71"/>
      <c r="B19" s="87"/>
      <c r="C19" s="65" t="s">
        <v>69</v>
      </c>
      <c r="D19" s="88" t="s">
        <v>70</v>
      </c>
      <c r="E19" s="96"/>
      <c r="F19" s="96"/>
      <c r="G19" s="97"/>
      <c r="L19" s="86" t="s">
        <v>56</v>
      </c>
    </row>
    <row r="20" ht="15">
      <c r="A20" s="71"/>
      <c r="B20" s="87"/>
      <c r="C20" s="73"/>
      <c r="D20" s="88" t="s">
        <v>71</v>
      </c>
      <c r="E20" s="84"/>
      <c r="F20" s="84"/>
      <c r="G20" s="97"/>
      <c r="L20" s="98"/>
    </row>
    <row r="21">
      <c r="A21" s="71"/>
      <c r="B21" s="87"/>
      <c r="C21" s="65" t="s">
        <v>72</v>
      </c>
      <c r="D21" s="88" t="s">
        <v>73</v>
      </c>
      <c r="E21" s="84"/>
      <c r="F21" s="84"/>
      <c r="G21" s="97"/>
      <c r="L21" s="86" t="s">
        <v>60</v>
      </c>
    </row>
    <row r="22">
      <c r="A22" s="71"/>
      <c r="B22" s="87"/>
      <c r="C22" s="73"/>
      <c r="D22" s="88" t="s">
        <v>74</v>
      </c>
      <c r="E22" s="84"/>
      <c r="F22" s="84"/>
      <c r="G22" s="97"/>
      <c r="L22" s="86" t="s">
        <v>62</v>
      </c>
    </row>
    <row r="23" ht="15">
      <c r="A23" s="71"/>
      <c r="B23" s="87"/>
      <c r="C23" s="93"/>
      <c r="D23" s="88" t="s">
        <v>75</v>
      </c>
      <c r="E23" s="94"/>
      <c r="F23" s="94"/>
      <c r="G23" s="97"/>
      <c r="L23" s="99" t="s">
        <v>76</v>
      </c>
    </row>
    <row r="24">
      <c r="A24" s="71"/>
      <c r="B24" s="87"/>
      <c r="C24" s="65" t="s">
        <v>77</v>
      </c>
      <c r="D24" s="88" t="s">
        <v>67</v>
      </c>
      <c r="E24" s="96"/>
      <c r="F24" s="96">
        <v>46066</v>
      </c>
      <c r="G24" s="97"/>
    </row>
    <row r="25" ht="28.800000000000001">
      <c r="A25" s="71"/>
      <c r="B25" s="87"/>
      <c r="C25" s="73"/>
      <c r="D25" s="88" t="s">
        <v>65</v>
      </c>
      <c r="E25" s="84"/>
      <c r="F25" s="84"/>
      <c r="G25" s="97"/>
      <c r="L25" s="78" t="s">
        <v>66</v>
      </c>
    </row>
    <row r="26" ht="15">
      <c r="A26" s="71"/>
      <c r="B26" s="87"/>
      <c r="C26" s="73"/>
      <c r="D26" s="91" t="s">
        <v>68</v>
      </c>
      <c r="E26" s="84"/>
      <c r="F26" s="84"/>
      <c r="G26" s="97"/>
    </row>
    <row r="27" ht="16.199999999999999">
      <c r="A27" s="71"/>
      <c r="B27" s="100"/>
      <c r="C27" s="101" t="s">
        <v>78</v>
      </c>
      <c r="D27" s="102" t="s">
        <v>76</v>
      </c>
      <c r="E27" s="103"/>
      <c r="F27" s="103"/>
      <c r="G27" s="97"/>
      <c r="H27" s="104">
        <f>SUM(G5:G27)</f>
        <v>0</v>
      </c>
      <c r="L27" s="105" t="s">
        <v>73</v>
      </c>
    </row>
    <row r="28" ht="15" customHeight="1">
      <c r="A28" s="71"/>
      <c r="B28" s="64" t="s">
        <v>79</v>
      </c>
      <c r="C28" s="65" t="s">
        <v>80</v>
      </c>
      <c r="D28" s="106" t="s">
        <v>81</v>
      </c>
      <c r="E28" s="107"/>
      <c r="F28" s="107"/>
      <c r="G28" s="108"/>
      <c r="L28" s="78" t="s">
        <v>74</v>
      </c>
    </row>
    <row r="29" ht="15" customHeight="1">
      <c r="A29" s="71"/>
      <c r="B29" s="72"/>
      <c r="C29" s="73"/>
      <c r="D29" s="88" t="s">
        <v>82</v>
      </c>
      <c r="E29" s="84"/>
      <c r="F29" s="84"/>
      <c r="G29" s="95"/>
      <c r="L29" s="57"/>
    </row>
    <row r="30" ht="15" customHeight="1">
      <c r="A30" s="71"/>
      <c r="B30" s="72"/>
      <c r="C30" s="73"/>
      <c r="D30" s="88" t="s">
        <v>83</v>
      </c>
      <c r="E30" s="84"/>
      <c r="F30" s="84"/>
      <c r="G30" s="95"/>
    </row>
    <row r="31" ht="15" customHeight="1">
      <c r="A31" s="71"/>
      <c r="B31" s="72"/>
      <c r="C31" s="73"/>
      <c r="D31" s="88" t="s">
        <v>84</v>
      </c>
      <c r="E31" s="84"/>
      <c r="F31" s="84"/>
      <c r="G31" s="95"/>
      <c r="L31" s="78" t="s">
        <v>70</v>
      </c>
    </row>
    <row r="32" ht="15" customHeight="1">
      <c r="A32" s="71"/>
      <c r="B32" s="72"/>
      <c r="C32" s="73"/>
      <c r="D32" s="88" t="s">
        <v>85</v>
      </c>
      <c r="E32" s="84"/>
      <c r="F32" s="84"/>
      <c r="G32" s="95"/>
      <c r="L32" s="78" t="s">
        <v>71</v>
      </c>
    </row>
    <row r="33" ht="15" customHeight="1">
      <c r="A33" s="71"/>
      <c r="B33" s="72"/>
      <c r="C33" s="73"/>
      <c r="D33" s="88" t="s">
        <v>86</v>
      </c>
      <c r="E33" s="84"/>
      <c r="F33" s="84"/>
      <c r="G33" s="95"/>
    </row>
    <row r="34" ht="15" customHeight="1">
      <c r="A34" s="71"/>
      <c r="B34" s="72"/>
      <c r="C34" s="73"/>
      <c r="D34" s="88" t="s">
        <v>87</v>
      </c>
      <c r="E34" s="84"/>
      <c r="F34" s="84"/>
      <c r="G34" s="95"/>
      <c r="L34" s="78" t="s">
        <v>88</v>
      </c>
    </row>
    <row r="35" ht="15.75" customHeight="1">
      <c r="A35" s="71"/>
      <c r="B35" s="87"/>
      <c r="C35" s="73"/>
      <c r="D35" s="88" t="s">
        <v>89</v>
      </c>
      <c r="E35" s="109"/>
      <c r="F35" s="109"/>
      <c r="G35" s="97"/>
      <c r="L35" s="78" t="s">
        <v>90</v>
      </c>
    </row>
    <row r="36" ht="15">
      <c r="A36" s="71"/>
      <c r="B36" s="87"/>
      <c r="C36" s="93"/>
      <c r="D36" s="88" t="s">
        <v>91</v>
      </c>
      <c r="E36" s="110"/>
      <c r="F36" s="110"/>
      <c r="G36" s="97"/>
      <c r="L36" s="78" t="s">
        <v>92</v>
      </c>
    </row>
    <row r="37" ht="15" customHeight="1">
      <c r="A37" s="71"/>
      <c r="B37" s="87"/>
      <c r="C37" s="65" t="s">
        <v>93</v>
      </c>
      <c r="D37" s="88" t="s">
        <v>88</v>
      </c>
      <c r="E37" s="96">
        <v>46069</v>
      </c>
      <c r="F37" s="96">
        <v>46073</v>
      </c>
      <c r="G37" s="85"/>
      <c r="L37" s="78" t="s">
        <v>94</v>
      </c>
    </row>
    <row r="38" ht="15" customHeight="1">
      <c r="A38" s="71"/>
      <c r="B38" s="87"/>
      <c r="C38" s="73"/>
      <c r="D38" s="88" t="s">
        <v>90</v>
      </c>
      <c r="E38" s="109"/>
      <c r="F38" s="109"/>
      <c r="G38" s="89"/>
      <c r="L38" s="78" t="s">
        <v>95</v>
      </c>
    </row>
    <row r="39" ht="15.75" customHeight="1">
      <c r="A39" s="71"/>
      <c r="B39" s="87"/>
      <c r="C39" s="73"/>
      <c r="D39" s="88" t="s">
        <v>92</v>
      </c>
      <c r="E39" s="109"/>
      <c r="F39" s="109"/>
      <c r="G39" s="89"/>
      <c r="L39" s="78" t="s">
        <v>96</v>
      </c>
    </row>
    <row r="40" ht="15" customHeight="1">
      <c r="A40" s="71"/>
      <c r="B40" s="87"/>
      <c r="C40" s="73"/>
      <c r="D40" s="88" t="s">
        <v>94</v>
      </c>
      <c r="E40" s="109"/>
      <c r="F40" s="109"/>
      <c r="G40" s="89"/>
      <c r="L40" s="78" t="s">
        <v>97</v>
      </c>
    </row>
    <row r="41" ht="15" customHeight="1">
      <c r="A41" s="71"/>
      <c r="B41" s="87"/>
      <c r="C41" s="73"/>
      <c r="D41" s="88" t="s">
        <v>95</v>
      </c>
      <c r="E41" s="109"/>
      <c r="F41" s="109"/>
      <c r="G41" s="89"/>
    </row>
    <row r="42" ht="15.75" customHeight="1">
      <c r="A42" s="71"/>
      <c r="B42" s="87"/>
      <c r="C42" s="73"/>
      <c r="D42" s="88" t="s">
        <v>96</v>
      </c>
      <c r="E42" s="109"/>
      <c r="F42" s="109"/>
      <c r="G42" s="89"/>
      <c r="L42" s="111" t="s">
        <v>81</v>
      </c>
    </row>
    <row r="43" ht="15">
      <c r="A43" s="71"/>
      <c r="B43" s="87"/>
      <c r="C43" s="93"/>
      <c r="D43" s="88" t="s">
        <v>97</v>
      </c>
      <c r="E43" s="109"/>
      <c r="F43" s="109"/>
      <c r="G43" s="89"/>
      <c r="L43" s="78" t="s">
        <v>82</v>
      </c>
    </row>
    <row r="44" ht="14.4" customHeight="1">
      <c r="A44" s="71"/>
      <c r="B44" s="87"/>
      <c r="C44" s="65" t="s">
        <v>98</v>
      </c>
      <c r="D44" s="112" t="s">
        <v>99</v>
      </c>
      <c r="E44" s="96"/>
      <c r="F44" s="96"/>
      <c r="G44" s="85"/>
      <c r="L44" s="78" t="s">
        <v>83</v>
      </c>
    </row>
    <row r="45" ht="15" customHeight="1">
      <c r="A45" s="71"/>
      <c r="B45" s="87"/>
      <c r="C45" s="73"/>
      <c r="D45" s="112" t="s">
        <v>100</v>
      </c>
      <c r="E45" s="84"/>
      <c r="F45" s="84"/>
      <c r="G45" s="89"/>
      <c r="L45" s="78" t="s">
        <v>84</v>
      </c>
    </row>
    <row r="46" ht="15" customHeight="1">
      <c r="A46" s="71"/>
      <c r="B46" s="87"/>
      <c r="C46" s="73"/>
      <c r="D46" s="112" t="s">
        <v>101</v>
      </c>
      <c r="E46" s="84"/>
      <c r="F46" s="84"/>
      <c r="G46" s="89"/>
      <c r="L46" s="78" t="s">
        <v>85</v>
      </c>
    </row>
    <row r="47" ht="15" customHeight="1">
      <c r="A47" s="71"/>
      <c r="B47" s="87"/>
      <c r="C47" s="73"/>
      <c r="D47" s="112" t="s">
        <v>102</v>
      </c>
      <c r="E47" s="84"/>
      <c r="F47" s="84"/>
      <c r="G47" s="89"/>
      <c r="L47" s="78" t="s">
        <v>86</v>
      </c>
    </row>
    <row r="48" ht="15" customHeight="1">
      <c r="A48" s="71"/>
      <c r="B48" s="87"/>
      <c r="C48" s="73"/>
      <c r="D48" s="112" t="s">
        <v>103</v>
      </c>
      <c r="E48" s="84"/>
      <c r="F48" s="84"/>
      <c r="G48" s="89"/>
      <c r="L48" s="78" t="s">
        <v>87</v>
      </c>
    </row>
    <row r="49" ht="15" customHeight="1">
      <c r="A49" s="71"/>
      <c r="B49" s="87"/>
      <c r="C49" s="73"/>
      <c r="D49" s="112" t="s">
        <v>104</v>
      </c>
      <c r="E49" s="84"/>
      <c r="F49" s="84"/>
      <c r="G49" s="89"/>
      <c r="L49" s="78" t="s">
        <v>89</v>
      </c>
    </row>
    <row r="50" ht="15.75" customHeight="1">
      <c r="A50" s="71"/>
      <c r="B50" s="87"/>
      <c r="C50" s="73"/>
      <c r="D50" s="112" t="s">
        <v>105</v>
      </c>
      <c r="E50" s="84"/>
      <c r="F50" s="84"/>
      <c r="G50" s="89"/>
      <c r="L50" s="78" t="s">
        <v>91</v>
      </c>
    </row>
    <row r="51" ht="15">
      <c r="A51" s="71"/>
      <c r="B51" s="87"/>
      <c r="C51" s="93"/>
      <c r="D51" s="112" t="s">
        <v>106</v>
      </c>
      <c r="E51" s="94"/>
      <c r="F51" s="94"/>
      <c r="G51" s="95"/>
    </row>
    <row r="52" ht="15" customHeight="1">
      <c r="A52" s="71"/>
      <c r="B52" s="87"/>
      <c r="C52" s="65" t="s">
        <v>107</v>
      </c>
      <c r="D52" s="112" t="s">
        <v>108</v>
      </c>
      <c r="E52" s="96"/>
      <c r="F52" s="96"/>
      <c r="G52" s="85"/>
      <c r="L52" s="78" t="s">
        <v>108</v>
      </c>
    </row>
    <row r="53" ht="15" customHeight="1">
      <c r="A53" s="71"/>
      <c r="B53" s="87"/>
      <c r="C53" s="73"/>
      <c r="D53" s="112" t="s">
        <v>109</v>
      </c>
      <c r="E53" s="84"/>
      <c r="F53" s="84"/>
      <c r="G53" s="89"/>
      <c r="L53" s="78" t="s">
        <v>109</v>
      </c>
    </row>
    <row r="54" ht="15.75" customHeight="1">
      <c r="A54" s="71"/>
      <c r="B54" s="87"/>
      <c r="C54" s="73"/>
      <c r="D54" s="112" t="s">
        <v>110</v>
      </c>
      <c r="E54" s="84"/>
      <c r="F54" s="84"/>
      <c r="G54" s="89"/>
      <c r="L54" s="78" t="s">
        <v>110</v>
      </c>
    </row>
    <row r="55" ht="15">
      <c r="A55" s="71"/>
      <c r="B55" s="87"/>
      <c r="C55" s="93"/>
      <c r="D55" s="112" t="s">
        <v>111</v>
      </c>
      <c r="E55" s="84"/>
      <c r="F55" s="84"/>
      <c r="G55" s="95"/>
      <c r="L55" s="78" t="s">
        <v>111</v>
      </c>
    </row>
    <row r="56" ht="15" customHeight="1">
      <c r="A56" s="71"/>
      <c r="B56" s="87"/>
      <c r="C56" s="65" t="s">
        <v>112</v>
      </c>
      <c r="D56" s="112" t="s">
        <v>113</v>
      </c>
      <c r="E56" s="84"/>
      <c r="F56" s="84"/>
      <c r="G56" s="85"/>
    </row>
    <row r="57" ht="15" customHeight="1">
      <c r="A57" s="71"/>
      <c r="B57" s="87"/>
      <c r="C57" s="73"/>
      <c r="D57" s="112" t="s">
        <v>114</v>
      </c>
      <c r="E57" s="84"/>
      <c r="F57" s="84"/>
      <c r="G57" s="89"/>
      <c r="L57" s="86" t="s">
        <v>103</v>
      </c>
    </row>
    <row r="58" ht="15" customHeight="1">
      <c r="A58" s="71"/>
      <c r="B58" s="87"/>
      <c r="C58" s="73"/>
      <c r="D58" s="112" t="s">
        <v>115</v>
      </c>
      <c r="E58" s="84"/>
      <c r="F58" s="84"/>
      <c r="G58" s="89"/>
      <c r="L58" s="78" t="s">
        <v>104</v>
      </c>
    </row>
    <row r="59" ht="15.75" customHeight="1">
      <c r="A59" s="71"/>
      <c r="B59" s="87"/>
      <c r="C59" s="73"/>
      <c r="D59" s="112" t="s">
        <v>116</v>
      </c>
      <c r="E59" s="84"/>
      <c r="F59" s="84"/>
      <c r="G59" s="89"/>
      <c r="L59" s="78" t="s">
        <v>105</v>
      </c>
    </row>
    <row r="60" ht="15">
      <c r="A60" s="71"/>
      <c r="B60" s="87"/>
      <c r="C60" s="73"/>
      <c r="D60" s="113" t="s">
        <v>117</v>
      </c>
      <c r="E60" s="94"/>
      <c r="F60" s="94"/>
      <c r="G60" s="95"/>
      <c r="L60" s="78" t="s">
        <v>106</v>
      </c>
    </row>
    <row r="61" ht="17.25" customHeight="1">
      <c r="A61" s="114"/>
      <c r="B61" s="115"/>
      <c r="C61" s="116" t="s">
        <v>118</v>
      </c>
      <c r="D61" s="117"/>
      <c r="E61" s="118"/>
      <c r="F61" s="119"/>
      <c r="G61" s="120"/>
      <c r="H61" s="121">
        <f>SUM(G28:G61)</f>
        <v>0</v>
      </c>
    </row>
    <row r="62" ht="15" customHeight="1">
      <c r="A62" s="63" t="s">
        <v>119</v>
      </c>
      <c r="B62" s="122" t="s">
        <v>120</v>
      </c>
      <c r="C62" s="73" t="s">
        <v>121</v>
      </c>
      <c r="D62" s="123" t="s">
        <v>122</v>
      </c>
      <c r="E62" s="124"/>
      <c r="F62" s="125"/>
      <c r="G62" s="126"/>
      <c r="L62" s="78" t="s">
        <v>113</v>
      </c>
    </row>
    <row r="63">
      <c r="A63" s="71"/>
      <c r="B63" s="127"/>
      <c r="C63" s="73"/>
      <c r="D63" s="123" t="s">
        <v>123</v>
      </c>
      <c r="E63" s="128"/>
      <c r="F63" s="129"/>
      <c r="G63" s="89"/>
      <c r="L63" s="78" t="s">
        <v>114</v>
      </c>
    </row>
    <row r="64" ht="15">
      <c r="A64" s="71"/>
      <c r="B64" s="127"/>
      <c r="C64" s="73"/>
      <c r="D64" s="123" t="s">
        <v>124</v>
      </c>
      <c r="E64" s="130"/>
      <c r="F64" s="131"/>
      <c r="G64" s="132"/>
      <c r="L64" s="78" t="s">
        <v>115</v>
      </c>
    </row>
    <row r="65" ht="15" customHeight="1">
      <c r="A65" s="71"/>
      <c r="B65" s="127"/>
      <c r="C65" s="65" t="s">
        <v>125</v>
      </c>
      <c r="D65" s="123" t="s">
        <v>81</v>
      </c>
      <c r="E65" s="133"/>
      <c r="F65" s="134"/>
      <c r="G65" s="135"/>
      <c r="L65" s="78" t="s">
        <v>116</v>
      </c>
    </row>
    <row r="66" ht="15" customHeight="1">
      <c r="A66" s="71"/>
      <c r="B66" s="127"/>
      <c r="C66" s="73"/>
      <c r="D66" s="70" t="s">
        <v>126</v>
      </c>
      <c r="E66" s="128"/>
      <c r="F66" s="129"/>
      <c r="G66" s="89"/>
      <c r="L66" s="105" t="s">
        <v>117</v>
      </c>
    </row>
    <row r="67" ht="15.75" customHeight="1">
      <c r="A67" s="71"/>
      <c r="B67" s="127"/>
      <c r="C67" s="73"/>
      <c r="D67" s="70" t="s">
        <v>127</v>
      </c>
      <c r="E67" s="128"/>
      <c r="F67" s="129"/>
      <c r="G67" s="89"/>
    </row>
    <row r="68" ht="15" customHeight="1">
      <c r="A68" s="71"/>
      <c r="B68" s="127"/>
      <c r="C68" s="73"/>
      <c r="D68" s="70" t="s">
        <v>128</v>
      </c>
      <c r="E68" s="128"/>
      <c r="F68" s="129"/>
      <c r="G68" s="89"/>
      <c r="L68" s="136" t="s">
        <v>122</v>
      </c>
    </row>
    <row r="69" ht="15" customHeight="1">
      <c r="A69" s="71"/>
      <c r="B69" s="127"/>
      <c r="C69" s="73"/>
      <c r="D69" s="70" t="s">
        <v>129</v>
      </c>
      <c r="E69" s="128"/>
      <c r="F69" s="129"/>
      <c r="G69" s="89"/>
      <c r="L69" s="136" t="s">
        <v>123</v>
      </c>
    </row>
    <row r="70" ht="15.75" customHeight="1">
      <c r="A70" s="71"/>
      <c r="B70" s="127"/>
      <c r="C70" s="73"/>
      <c r="D70" s="70" t="s">
        <v>130</v>
      </c>
      <c r="E70" s="128"/>
      <c r="F70" s="129"/>
      <c r="G70" s="89"/>
      <c r="L70" s="136" t="s">
        <v>124</v>
      </c>
    </row>
    <row r="71" ht="15" customHeight="1">
      <c r="A71" s="71"/>
      <c r="B71" s="127"/>
      <c r="C71" s="73"/>
      <c r="D71" s="70" t="s">
        <v>131</v>
      </c>
      <c r="E71" s="128"/>
      <c r="F71" s="129"/>
      <c r="G71" s="89"/>
    </row>
    <row r="72" ht="15" customHeight="1">
      <c r="A72" s="71"/>
      <c r="B72" s="127"/>
      <c r="C72" s="73"/>
      <c r="D72" s="70" t="s">
        <v>132</v>
      </c>
      <c r="E72" s="128"/>
      <c r="F72" s="129"/>
      <c r="G72" s="89"/>
      <c r="L72" s="136" t="s">
        <v>81</v>
      </c>
    </row>
    <row r="73" ht="15.75" customHeight="1">
      <c r="A73" s="71"/>
      <c r="B73" s="127"/>
      <c r="C73" s="73"/>
      <c r="D73" s="70" t="s">
        <v>133</v>
      </c>
      <c r="E73" s="128"/>
      <c r="F73" s="129"/>
      <c r="G73" s="89"/>
      <c r="L73" s="91" t="s">
        <v>126</v>
      </c>
    </row>
    <row r="74" ht="15" customHeight="1">
      <c r="A74" s="71"/>
      <c r="B74" s="127"/>
      <c r="C74" s="73"/>
      <c r="D74" s="70" t="s">
        <v>134</v>
      </c>
      <c r="E74" s="128"/>
      <c r="F74" s="129"/>
      <c r="G74" s="89"/>
      <c r="L74" s="91" t="s">
        <v>127</v>
      </c>
    </row>
    <row r="75" ht="15" customHeight="1">
      <c r="A75" s="71"/>
      <c r="B75" s="127"/>
      <c r="C75" s="73"/>
      <c r="D75" s="70" t="s">
        <v>135</v>
      </c>
      <c r="E75" s="128"/>
      <c r="F75" s="129"/>
      <c r="G75" s="89"/>
      <c r="L75" s="91" t="s">
        <v>128</v>
      </c>
    </row>
    <row r="76" ht="15.75" customHeight="1">
      <c r="A76" s="71"/>
      <c r="B76" s="127"/>
      <c r="C76" s="73"/>
      <c r="D76" s="70" t="s">
        <v>136</v>
      </c>
      <c r="E76" s="128"/>
      <c r="F76" s="129"/>
      <c r="G76" s="89"/>
    </row>
    <row r="77" ht="15" customHeight="1">
      <c r="A77" s="71"/>
      <c r="B77" s="127"/>
      <c r="C77" s="73"/>
      <c r="D77" s="70" t="s">
        <v>137</v>
      </c>
      <c r="E77" s="128"/>
      <c r="F77" s="129"/>
      <c r="G77" s="89"/>
      <c r="L77" s="91" t="s">
        <v>129</v>
      </c>
    </row>
    <row r="78" ht="15" customHeight="1">
      <c r="A78" s="71"/>
      <c r="B78" s="127"/>
      <c r="C78" s="73"/>
      <c r="D78" s="70" t="s">
        <v>138</v>
      </c>
      <c r="E78" s="128"/>
      <c r="F78" s="129"/>
      <c r="G78" s="89"/>
      <c r="L78" s="91" t="s">
        <v>130</v>
      </c>
    </row>
    <row r="79" ht="15.75" customHeight="1">
      <c r="A79" s="71"/>
      <c r="B79" s="127"/>
      <c r="C79" s="73"/>
      <c r="D79" s="70" t="s">
        <v>139</v>
      </c>
      <c r="E79" s="128"/>
      <c r="F79" s="129"/>
      <c r="G79" s="89"/>
      <c r="L79" s="91" t="s">
        <v>131</v>
      </c>
    </row>
    <row r="80" ht="15" customHeight="1">
      <c r="A80" s="71"/>
      <c r="B80" s="127"/>
      <c r="C80" s="73"/>
      <c r="D80" s="70" t="s">
        <v>140</v>
      </c>
      <c r="E80" s="128"/>
      <c r="F80" s="129"/>
      <c r="G80" s="89"/>
    </row>
    <row r="81" ht="15.75" customHeight="1">
      <c r="A81" s="71"/>
      <c r="B81" s="127"/>
      <c r="C81" s="93"/>
      <c r="D81" s="70" t="s">
        <v>141</v>
      </c>
      <c r="E81" s="137"/>
      <c r="F81" s="138"/>
      <c r="G81" s="95"/>
      <c r="L81" s="91" t="s">
        <v>132</v>
      </c>
    </row>
    <row r="82" ht="16.5">
      <c r="A82" s="71"/>
      <c r="B82" s="127"/>
      <c r="C82" s="116" t="s">
        <v>118</v>
      </c>
      <c r="D82" s="117"/>
      <c r="E82" s="96"/>
      <c r="F82" s="139"/>
      <c r="G82" s="85"/>
      <c r="H82" s="121">
        <f>SUM(G62:G82)</f>
        <v>0</v>
      </c>
      <c r="L82" s="91" t="s">
        <v>133</v>
      </c>
    </row>
    <row r="83" ht="15" customHeight="1">
      <c r="A83" s="71"/>
      <c r="B83" s="140" t="s">
        <v>142</v>
      </c>
      <c r="C83" s="65" t="s">
        <v>143</v>
      </c>
      <c r="D83" s="141" t="s">
        <v>144</v>
      </c>
      <c r="E83" s="142"/>
      <c r="F83" s="142"/>
      <c r="G83" s="143"/>
    </row>
    <row r="84" ht="15" customHeight="1">
      <c r="A84" s="71"/>
      <c r="B84" s="144"/>
      <c r="C84" s="73"/>
      <c r="D84" s="145" t="s">
        <v>145</v>
      </c>
      <c r="E84" s="146"/>
      <c r="F84" s="147"/>
      <c r="G84" s="148"/>
      <c r="L84" s="70" t="s">
        <v>134</v>
      </c>
    </row>
    <row r="85" ht="15" customHeight="1">
      <c r="A85" s="71"/>
      <c r="B85" s="144"/>
      <c r="C85" s="73"/>
      <c r="D85" s="145" t="s">
        <v>146</v>
      </c>
      <c r="E85" s="146"/>
      <c r="F85" s="147"/>
      <c r="G85" s="148"/>
    </row>
    <row r="86" ht="15" customHeight="1">
      <c r="A86" s="71"/>
      <c r="B86" s="144"/>
      <c r="C86" s="73"/>
      <c r="D86" s="145" t="s">
        <v>147</v>
      </c>
      <c r="E86" s="146"/>
      <c r="F86" s="147"/>
      <c r="G86" s="148"/>
      <c r="L86" s="70" t="s">
        <v>135</v>
      </c>
    </row>
    <row r="87" ht="15" customHeight="1">
      <c r="A87" s="71"/>
      <c r="B87" s="144"/>
      <c r="C87" s="73"/>
      <c r="D87" s="145" t="s">
        <v>148</v>
      </c>
      <c r="E87" s="146"/>
      <c r="F87" s="147"/>
      <c r="G87" s="148"/>
      <c r="L87" s="70" t="s">
        <v>136</v>
      </c>
    </row>
    <row r="88" ht="15" customHeight="1">
      <c r="A88" s="71"/>
      <c r="B88" s="144"/>
      <c r="C88" s="73"/>
      <c r="D88" s="145" t="s">
        <v>149</v>
      </c>
      <c r="E88" s="146"/>
      <c r="F88" s="147"/>
      <c r="G88" s="148"/>
      <c r="L88" s="70" t="s">
        <v>137</v>
      </c>
    </row>
    <row r="89" ht="15" customHeight="1">
      <c r="A89" s="71"/>
      <c r="B89" s="144"/>
      <c r="C89" s="73"/>
      <c r="D89" s="145" t="s">
        <v>150</v>
      </c>
      <c r="E89" s="146"/>
      <c r="F89" s="147"/>
      <c r="G89" s="148"/>
    </row>
    <row r="90" ht="15" customHeight="1">
      <c r="A90" s="71"/>
      <c r="B90" s="144"/>
      <c r="C90" s="73"/>
      <c r="D90" s="145" t="s">
        <v>151</v>
      </c>
      <c r="E90" s="146"/>
      <c r="F90" s="147"/>
      <c r="G90" s="148"/>
      <c r="L90" s="70" t="s">
        <v>138</v>
      </c>
    </row>
    <row r="91" ht="15" customHeight="1">
      <c r="A91" s="71"/>
      <c r="B91" s="144"/>
      <c r="C91" s="73"/>
      <c r="D91" s="145" t="s">
        <v>152</v>
      </c>
      <c r="E91" s="146"/>
      <c r="F91" s="147"/>
      <c r="G91" s="148"/>
      <c r="L91" s="70" t="s">
        <v>139</v>
      </c>
    </row>
    <row r="92" ht="15" customHeight="1">
      <c r="A92" s="71"/>
      <c r="B92" s="144"/>
      <c r="C92" s="73"/>
      <c r="D92" s="145" t="s">
        <v>153</v>
      </c>
      <c r="E92" s="146"/>
      <c r="F92" s="147"/>
      <c r="G92" s="148"/>
    </row>
    <row r="93" ht="15" customHeight="1">
      <c r="A93" s="71"/>
      <c r="B93" s="144"/>
      <c r="C93" s="73"/>
      <c r="D93" s="145" t="s">
        <v>154</v>
      </c>
      <c r="E93" s="146"/>
      <c r="F93" s="147"/>
      <c r="G93" s="148"/>
      <c r="L93" s="70" t="s">
        <v>140</v>
      </c>
    </row>
    <row r="94" ht="15.75" customHeight="1">
      <c r="A94" s="71"/>
      <c r="B94" s="144"/>
      <c r="C94" s="93"/>
      <c r="D94" s="145" t="s">
        <v>155</v>
      </c>
      <c r="E94" s="149"/>
      <c r="F94" s="150"/>
      <c r="G94" s="151"/>
    </row>
    <row r="95" ht="16.5">
      <c r="A95" s="71"/>
      <c r="B95" s="152"/>
      <c r="C95" s="116" t="s">
        <v>118</v>
      </c>
      <c r="D95" s="117"/>
      <c r="E95" s="153"/>
      <c r="F95" s="154"/>
      <c r="G95" s="155"/>
      <c r="H95" s="156">
        <f>SUM(G83:G95)</f>
        <v>0</v>
      </c>
    </row>
    <row r="96" ht="28.5">
      <c r="A96" s="63" t="s">
        <v>156</v>
      </c>
      <c r="B96" s="157" t="s">
        <v>157</v>
      </c>
      <c r="C96" s="65" t="s">
        <v>158</v>
      </c>
      <c r="D96" s="158" t="s">
        <v>159</v>
      </c>
      <c r="E96" s="159"/>
      <c r="F96" s="159"/>
      <c r="G96" s="160"/>
    </row>
    <row r="97" ht="28.5">
      <c r="A97" s="71"/>
      <c r="B97" s="161"/>
      <c r="C97" s="73"/>
      <c r="D97" s="162" t="s">
        <v>160</v>
      </c>
      <c r="E97" s="163"/>
      <c r="F97" s="163"/>
      <c r="G97" s="164"/>
    </row>
    <row r="98" ht="28.5">
      <c r="A98" s="71"/>
      <c r="B98" s="161"/>
      <c r="C98" s="73"/>
      <c r="D98" s="165" t="s">
        <v>161</v>
      </c>
      <c r="E98" s="166"/>
      <c r="F98" s="166"/>
      <c r="G98" s="167"/>
    </row>
    <row r="99" ht="20.25" customHeight="1">
      <c r="A99" s="71"/>
      <c r="B99" s="161"/>
      <c r="C99" s="73"/>
      <c r="D99" s="165" t="s">
        <v>162</v>
      </c>
      <c r="E99" s="168"/>
      <c r="F99" s="168"/>
      <c r="G99" s="169"/>
    </row>
    <row r="100" ht="15">
      <c r="A100" s="71"/>
      <c r="B100" s="161"/>
      <c r="C100" s="73"/>
      <c r="D100" s="165" t="s">
        <v>163</v>
      </c>
      <c r="E100" s="168"/>
      <c r="F100" s="168"/>
      <c r="G100" s="169"/>
    </row>
    <row r="101" ht="28.5">
      <c r="A101" s="71"/>
      <c r="B101" s="152"/>
      <c r="C101" s="73"/>
      <c r="D101" s="170" t="s">
        <v>164</v>
      </c>
      <c r="E101" s="171"/>
      <c r="F101" s="171"/>
      <c r="G101" s="172"/>
      <c r="H101" s="173">
        <f>SUM(G96:G101)</f>
        <v>0</v>
      </c>
    </row>
    <row r="102" ht="15" customHeight="1">
      <c r="A102" s="63" t="s">
        <v>165</v>
      </c>
      <c r="B102" s="174" t="s">
        <v>166</v>
      </c>
      <c r="C102" s="65" t="s">
        <v>167</v>
      </c>
      <c r="D102" s="175" t="s">
        <v>168</v>
      </c>
      <c r="E102" s="176"/>
      <c r="F102" s="176"/>
      <c r="G102" s="177"/>
    </row>
    <row r="103" ht="28.5">
      <c r="A103" s="71"/>
      <c r="B103" s="178"/>
      <c r="C103" s="73"/>
      <c r="D103" s="145" t="s">
        <v>169</v>
      </c>
      <c r="E103" s="168"/>
      <c r="F103" s="168"/>
      <c r="G103" s="169"/>
    </row>
    <row r="104">
      <c r="A104" s="71"/>
      <c r="B104" s="178"/>
      <c r="C104" s="73"/>
      <c r="D104" s="145" t="s">
        <v>170</v>
      </c>
      <c r="E104" s="168"/>
      <c r="F104" s="168"/>
      <c r="G104" s="169"/>
    </row>
    <row r="105">
      <c r="A105" s="71"/>
      <c r="B105" s="178"/>
      <c r="C105" s="73"/>
      <c r="D105" s="145" t="s">
        <v>171</v>
      </c>
      <c r="E105" s="168"/>
      <c r="F105" s="168"/>
      <c r="G105" s="169"/>
    </row>
    <row r="106" ht="28.5">
      <c r="A106" s="71"/>
      <c r="B106" s="178"/>
      <c r="C106" s="73"/>
      <c r="D106" s="179" t="s">
        <v>172</v>
      </c>
      <c r="E106" s="171"/>
      <c r="F106" s="171"/>
      <c r="G106" s="172"/>
    </row>
    <row r="107" ht="16.5">
      <c r="A107" s="71"/>
      <c r="B107" s="180"/>
      <c r="C107" s="116" t="s">
        <v>173</v>
      </c>
      <c r="D107" s="117"/>
      <c r="E107" s="181"/>
      <c r="F107" s="181"/>
      <c r="G107" s="182"/>
      <c r="H107" s="183">
        <f>SUM(G102:G107)</f>
        <v>0</v>
      </c>
    </row>
    <row r="108" ht="15">
      <c r="F108" s="184" t="s">
        <v>47</v>
      </c>
      <c r="G108" s="185"/>
      <c r="H108" s="186">
        <f>SUM(H107,H101,H95,H82,H61,H27)</f>
        <v>0</v>
      </c>
    </row>
    <row r="109" ht="16.5">
      <c r="F109" s="187" t="s">
        <v>174</v>
      </c>
      <c r="G109" s="187"/>
      <c r="H109" s="188">
        <f>H108*4</f>
        <v>0</v>
      </c>
    </row>
  </sheetData>
  <mergeCells count="70">
    <mergeCell ref="C1:G2"/>
    <mergeCell ref="A5:A61"/>
    <mergeCell ref="B5:B27"/>
    <mergeCell ref="C5:C10"/>
    <mergeCell ref="E5:E10"/>
    <mergeCell ref="F5:F10"/>
    <mergeCell ref="G5:G10"/>
    <mergeCell ref="C11:C18"/>
    <mergeCell ref="E11:E18"/>
    <mergeCell ref="F11:F18"/>
    <mergeCell ref="G11:G18"/>
    <mergeCell ref="C19:C20"/>
    <mergeCell ref="E19:E23"/>
    <mergeCell ref="F19:F23"/>
    <mergeCell ref="G19:G20"/>
    <mergeCell ref="C21:C23"/>
    <mergeCell ref="G21:G23"/>
    <mergeCell ref="C24:C26"/>
    <mergeCell ref="E24:E27"/>
    <mergeCell ref="F24:F27"/>
    <mergeCell ref="G24:G26"/>
    <mergeCell ref="B28:B61"/>
    <mergeCell ref="C28:C36"/>
    <mergeCell ref="E28:E36"/>
    <mergeCell ref="F28:F36"/>
    <mergeCell ref="G28:G36"/>
    <mergeCell ref="C37:C43"/>
    <mergeCell ref="E37:E43"/>
    <mergeCell ref="F37:F43"/>
    <mergeCell ref="G37:G43"/>
    <mergeCell ref="C44:C51"/>
    <mergeCell ref="E44:E51"/>
    <mergeCell ref="F44:F51"/>
    <mergeCell ref="G44:G51"/>
    <mergeCell ref="C52:C55"/>
    <mergeCell ref="E52:E60"/>
    <mergeCell ref="F52:F60"/>
    <mergeCell ref="G52:G55"/>
    <mergeCell ref="C56:C60"/>
    <mergeCell ref="G56:G60"/>
    <mergeCell ref="C61:D61"/>
    <mergeCell ref="A62:A95"/>
    <mergeCell ref="B62:B82"/>
    <mergeCell ref="C62:C64"/>
    <mergeCell ref="E62:E64"/>
    <mergeCell ref="F62:F64"/>
    <mergeCell ref="G62:G64"/>
    <mergeCell ref="C65:C81"/>
    <mergeCell ref="E65:E81"/>
    <mergeCell ref="F65:F81"/>
    <mergeCell ref="G65:G81"/>
    <mergeCell ref="C82:D82"/>
    <mergeCell ref="B83:B95"/>
    <mergeCell ref="C83:C94"/>
    <mergeCell ref="E83:E94"/>
    <mergeCell ref="F83:F94"/>
    <mergeCell ref="G83:G94"/>
    <mergeCell ref="C95:D95"/>
    <mergeCell ref="A96:A101"/>
    <mergeCell ref="B96:B101"/>
    <mergeCell ref="C96:C101"/>
    <mergeCell ref="E96:E98"/>
    <mergeCell ref="F96:F98"/>
    <mergeCell ref="G96:G98"/>
    <mergeCell ref="A102:A107"/>
    <mergeCell ref="B102:B107"/>
    <mergeCell ref="C102:C106"/>
    <mergeCell ref="C107:D107"/>
    <mergeCell ref="F108:G108"/>
    <mergeCell ref="F109:G10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Fortis</dc:creator>
  <cp:keywords/>
  <dc:description/>
  <cp:revision>1</cp:revision>
  <dcterms:created xsi:type="dcterms:W3CDTF">2026-01-06T17:00:57Z</dcterms:created>
  <dcterms:modified xsi:type="dcterms:W3CDTF">2026-07-25T05:46:44Z</dcterms:modified>
  <cp:category/>
  <cp:contentStatus/>
</cp:coreProperties>
</file>